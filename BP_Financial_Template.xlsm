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Git BP tables\"/>
    </mc:Choice>
  </mc:AlternateContent>
  <bookViews>
    <workbookView xWindow="0" yWindow="0" windowWidth="18870" windowHeight="6975" tabRatio="877"/>
  </bookViews>
  <sheets>
    <sheet name="Start-up" sheetId="1" r:id="rId1"/>
    <sheet name="Personnel" sheetId="2" r:id="rId2"/>
    <sheet name="Sales forecast-vb" sheetId="12" r:id="rId3"/>
    <sheet name="Sales forecast" sheetId="6" r:id="rId4"/>
    <sheet name="Profit and loss" sheetId="3" r:id="rId5"/>
    <sheet name="Break-even" sheetId="5" r:id="rId6"/>
    <sheet name="Cash-flow" sheetId="7" r:id="rId7"/>
    <sheet name="Balance sheet" sheetId="4" r:id="rId8"/>
    <sheet name="Charts" sheetId="8" r:id="rId9"/>
    <sheet name="Feasibility" sheetId="9" r:id="rId10"/>
    <sheet name="Cost Benefit" sheetId="10" r:id="rId11"/>
    <sheet name="Ravenue Growth Snippet" sheetId="11" r:id="rId12"/>
  </sheets>
  <definedNames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onevb">'Sales forecast-vb'!$7:$7</definedName>
    <definedName name="sthree">'Sales forecast'!$24:$24</definedName>
    <definedName name="stwo">'Sales forecast'!$17:$17</definedName>
    <definedName name="stwovb">'Sales forecast-vb'!$13:$13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B15" i="5"/>
  <c r="B7" i="5"/>
  <c r="I11" i="12" l="1"/>
  <c r="J11" i="12" s="1"/>
  <c r="A11" i="12"/>
  <c r="N5" i="12"/>
  <c r="J5" i="12"/>
  <c r="I5" i="12"/>
  <c r="K11" i="12" l="1"/>
  <c r="P5" i="12"/>
  <c r="O5" i="12"/>
  <c r="K5" i="12"/>
  <c r="M8" i="6"/>
  <c r="M16" i="6" s="1"/>
  <c r="I8" i="6"/>
  <c r="J8" i="6" s="1"/>
  <c r="K8" i="6" s="1"/>
  <c r="C16" i="6"/>
  <c r="A16" i="6"/>
  <c r="A23" i="6"/>
  <c r="M31" i="6"/>
  <c r="C31" i="6"/>
  <c r="D31" i="6" s="1"/>
  <c r="A31" i="6"/>
  <c r="M38" i="6"/>
  <c r="A38" i="6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A24" i="2"/>
  <c r="B16" i="2"/>
  <c r="B24" i="2" s="1"/>
  <c r="A16" i="2"/>
  <c r="C7" i="2"/>
  <c r="D7" i="2" s="1"/>
  <c r="E7" i="2" s="1"/>
  <c r="F7" i="2" s="1"/>
  <c r="F16" i="2" s="1"/>
  <c r="L11" i="12" l="1"/>
  <c r="Q5" i="12"/>
  <c r="L5" i="12"/>
  <c r="N8" i="6"/>
  <c r="N16" i="6" s="1"/>
  <c r="N31" i="6"/>
  <c r="D16" i="6"/>
  <c r="E16" i="6" s="1"/>
  <c r="P38" i="6" s="1"/>
  <c r="N38" i="6"/>
  <c r="O8" i="6"/>
  <c r="O16" i="6" s="1"/>
  <c r="L8" i="6"/>
  <c r="O38" i="6"/>
  <c r="F16" i="6"/>
  <c r="E31" i="6"/>
  <c r="P8" i="6" s="1"/>
  <c r="P16" i="6" s="1"/>
  <c r="C24" i="2"/>
  <c r="D24" i="2" s="1"/>
  <c r="E24" i="2" s="1"/>
  <c r="F24" i="2" s="1"/>
  <c r="D16" i="2"/>
  <c r="C16" i="2"/>
  <c r="E16" i="2"/>
  <c r="I12" i="12"/>
  <c r="J12" i="12" s="1"/>
  <c r="A12" i="12"/>
  <c r="N6" i="12"/>
  <c r="I6" i="12"/>
  <c r="J6" i="12" s="1"/>
  <c r="N4" i="12"/>
  <c r="N3" i="12"/>
  <c r="I10" i="12"/>
  <c r="J10" i="12" s="1"/>
  <c r="K10" i="12" s="1"/>
  <c r="L10" i="12" s="1"/>
  <c r="I9" i="12"/>
  <c r="J9" i="12" s="1"/>
  <c r="K9" i="12" s="1"/>
  <c r="L9" i="12" s="1"/>
  <c r="A10" i="12"/>
  <c r="I4" i="12"/>
  <c r="J4" i="12" s="1"/>
  <c r="K4" i="12" s="1"/>
  <c r="L4" i="12" s="1"/>
  <c r="I3" i="12"/>
  <c r="J3" i="12" s="1"/>
  <c r="K3" i="12" s="1"/>
  <c r="L3" i="12" s="1"/>
  <c r="A9" i="12"/>
  <c r="R5" i="12" l="1"/>
  <c r="O31" i="6"/>
  <c r="Q38" i="6"/>
  <c r="P31" i="6"/>
  <c r="F31" i="6"/>
  <c r="Q8" i="6" s="1"/>
  <c r="Q16" i="6" s="1"/>
  <c r="K12" i="12"/>
  <c r="P6" i="12"/>
  <c r="O6" i="12"/>
  <c r="K6" i="12"/>
  <c r="R4" i="12"/>
  <c r="Q4" i="12"/>
  <c r="R3" i="12"/>
  <c r="O4" i="12"/>
  <c r="Q3" i="12"/>
  <c r="O3" i="12"/>
  <c r="P4" i="12"/>
  <c r="P3" i="12"/>
  <c r="I3" i="6"/>
  <c r="J3" i="6" s="1"/>
  <c r="K3" i="6" s="1"/>
  <c r="L3" i="6" s="1"/>
  <c r="B11" i="1"/>
  <c r="A22" i="2"/>
  <c r="B14" i="2"/>
  <c r="B22" i="2" s="1"/>
  <c r="A14" i="2"/>
  <c r="C5" i="2"/>
  <c r="D5" i="2" s="1"/>
  <c r="E5" i="2" s="1"/>
  <c r="F5" i="2" s="1"/>
  <c r="F14" i="2" s="1"/>
  <c r="E1" i="11"/>
  <c r="E2" i="11"/>
  <c r="B3" i="11" s="1"/>
  <c r="B4" i="11" s="1"/>
  <c r="B5" i="11" s="1"/>
  <c r="B6" i="11" s="1"/>
  <c r="B7" i="11" s="1"/>
  <c r="B8" i="11" s="1"/>
  <c r="Q31" i="6" l="1"/>
  <c r="L12" i="12"/>
  <c r="Q6" i="12"/>
  <c r="L6" i="12"/>
  <c r="E14" i="2"/>
  <c r="C14" i="2"/>
  <c r="D14" i="2"/>
  <c r="C22" i="2"/>
  <c r="D22" i="2" s="1"/>
  <c r="E22" i="2" s="1"/>
  <c r="F22" i="2" s="1"/>
  <c r="R6" i="12" l="1"/>
  <c r="I2" i="9"/>
  <c r="B7" i="9" l="1"/>
  <c r="A7" i="9"/>
  <c r="A25" i="2"/>
  <c r="C4" i="2"/>
  <c r="D4" i="2" s="1"/>
  <c r="E4" i="2" s="1"/>
  <c r="F4" i="2" s="1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 s="1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C8" i="2" l="1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D12" i="6" l="1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O6" i="6" l="1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13" i="2"/>
  <c r="A12" i="2"/>
  <c r="A19" i="2" l="1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D18" i="3" s="1"/>
  <c r="C16" i="3"/>
  <c r="C12" i="3"/>
  <c r="C13" i="3"/>
  <c r="C14" i="3"/>
  <c r="D14" i="3" s="1"/>
  <c r="E14" i="3" s="1"/>
  <c r="F14" i="3" s="1"/>
  <c r="C11" i="3"/>
  <c r="E18" i="3" l="1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3" i="2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3" i="2"/>
  <c r="C17" i="3"/>
  <c r="D26" i="2"/>
  <c r="D8" i="3" s="1"/>
  <c r="B17" i="3"/>
  <c r="F13" i="2" l="1"/>
  <c r="C19" i="3"/>
  <c r="O7" i="12" s="1"/>
  <c r="C10" i="10"/>
  <c r="B10" i="10"/>
  <c r="I1" i="10"/>
  <c r="F26" i="2"/>
  <c r="F8" i="3" s="1"/>
  <c r="E26" i="2"/>
  <c r="E8" i="3" s="1"/>
  <c r="B19" i="3"/>
  <c r="N7" i="12" s="1"/>
  <c r="D17" i="3"/>
  <c r="B5" i="12" l="1"/>
  <c r="B11" i="12"/>
  <c r="C5" i="12"/>
  <c r="C11" i="12"/>
  <c r="B12" i="12"/>
  <c r="B26" i="3"/>
  <c r="B6" i="12"/>
  <c r="C26" i="3"/>
  <c r="C12" i="12"/>
  <c r="C6" i="12"/>
  <c r="C10" i="12"/>
  <c r="C9" i="12"/>
  <c r="C4" i="12"/>
  <c r="C3" i="12"/>
  <c r="M17" i="6"/>
  <c r="B8" i="6" s="1"/>
  <c r="N17" i="6"/>
  <c r="D19" i="3"/>
  <c r="P7" i="12" s="1"/>
  <c r="D10" i="10"/>
  <c r="E17" i="3"/>
  <c r="E10" i="10" s="1"/>
  <c r="F17" i="3"/>
  <c r="F10" i="10" s="1"/>
  <c r="D5" i="12" l="1"/>
  <c r="D11" i="12"/>
  <c r="D26" i="3"/>
  <c r="D12" i="12"/>
  <c r="D6" i="12"/>
  <c r="C8" i="6"/>
  <c r="B23" i="6"/>
  <c r="B38" i="6"/>
  <c r="B7" i="6"/>
  <c r="B22" i="6" s="1"/>
  <c r="D10" i="12"/>
  <c r="D9" i="12"/>
  <c r="D4" i="12"/>
  <c r="D3" i="12"/>
  <c r="C7" i="12"/>
  <c r="C13" i="12"/>
  <c r="B4" i="12"/>
  <c r="B3" i="12"/>
  <c r="B10" i="12"/>
  <c r="B9" i="12"/>
  <c r="B6" i="6"/>
  <c r="B36" i="6" s="1"/>
  <c r="B3" i="6"/>
  <c r="B18" i="6" s="1"/>
  <c r="B5" i="6"/>
  <c r="B20" i="6" s="1"/>
  <c r="B4" i="6"/>
  <c r="B19" i="6" s="1"/>
  <c r="C4" i="6"/>
  <c r="C34" i="6" s="1"/>
  <c r="C6" i="6"/>
  <c r="C36" i="6" s="1"/>
  <c r="C3" i="6"/>
  <c r="C5" i="6"/>
  <c r="C7" i="6"/>
  <c r="O17" i="6"/>
  <c r="F19" i="3"/>
  <c r="R7" i="12" s="1"/>
  <c r="G2" i="5"/>
  <c r="G9" i="5"/>
  <c r="G10" i="5"/>
  <c r="G4" i="5"/>
  <c r="G7" i="5"/>
  <c r="G5" i="5"/>
  <c r="G6" i="5"/>
  <c r="G3" i="5"/>
  <c r="G8" i="5"/>
  <c r="G11" i="5"/>
  <c r="E19" i="3"/>
  <c r="Q7" i="12" s="1"/>
  <c r="F5" i="12" l="1"/>
  <c r="F11" i="12"/>
  <c r="E5" i="12"/>
  <c r="E11" i="12"/>
  <c r="F26" i="3"/>
  <c r="F12" i="12"/>
  <c r="F6" i="12"/>
  <c r="E12" i="12"/>
  <c r="E26" i="3"/>
  <c r="E6" i="12"/>
  <c r="D8" i="6"/>
  <c r="C23" i="6"/>
  <c r="C38" i="6"/>
  <c r="B37" i="6"/>
  <c r="B35" i="6"/>
  <c r="D7" i="12"/>
  <c r="D13" i="12"/>
  <c r="B9" i="6"/>
  <c r="B33" i="6"/>
  <c r="B13" i="12"/>
  <c r="B7" i="12"/>
  <c r="B34" i="6"/>
  <c r="P17" i="6"/>
  <c r="E8" i="6" s="1"/>
  <c r="Q17" i="6"/>
  <c r="F8" i="6" s="1"/>
  <c r="B21" i="6"/>
  <c r="B24" i="6" s="1"/>
  <c r="B2" i="3" s="1"/>
  <c r="C19" i="6"/>
  <c r="C21" i="6"/>
  <c r="D5" i="6"/>
  <c r="D7" i="6"/>
  <c r="D4" i="6"/>
  <c r="D34" i="6" s="1"/>
  <c r="D6" i="6"/>
  <c r="D36" i="6" s="1"/>
  <c r="D3" i="6"/>
  <c r="C22" i="6"/>
  <c r="C37" i="6"/>
  <c r="C35" i="6"/>
  <c r="C20" i="6"/>
  <c r="C9" i="6"/>
  <c r="C18" i="6"/>
  <c r="C33" i="6"/>
  <c r="F7" i="6" l="1"/>
  <c r="F22" i="6" s="1"/>
  <c r="E23" i="6"/>
  <c r="E38" i="6"/>
  <c r="D38" i="6"/>
  <c r="D23" i="6"/>
  <c r="F23" i="6"/>
  <c r="F38" i="6"/>
  <c r="F5" i="6"/>
  <c r="F35" i="6" s="1"/>
  <c r="E4" i="6"/>
  <c r="E19" i="6" s="1"/>
  <c r="F3" i="6"/>
  <c r="F18" i="6" s="1"/>
  <c r="E3" i="6"/>
  <c r="E18" i="6" s="1"/>
  <c r="F6" i="6"/>
  <c r="F36" i="6" s="1"/>
  <c r="F10" i="12"/>
  <c r="F9" i="12"/>
  <c r="F4" i="12"/>
  <c r="F3" i="12"/>
  <c r="E7" i="6"/>
  <c r="E22" i="6" s="1"/>
  <c r="E6" i="6"/>
  <c r="E36" i="6" s="1"/>
  <c r="E10" i="12"/>
  <c r="E9" i="12"/>
  <c r="E4" i="12"/>
  <c r="E3" i="12"/>
  <c r="B39" i="6"/>
  <c r="B3" i="3" s="1"/>
  <c r="F4" i="6"/>
  <c r="F34" i="6" s="1"/>
  <c r="E5" i="6"/>
  <c r="E35" i="6" s="1"/>
  <c r="E21" i="6"/>
  <c r="D21" i="6"/>
  <c r="D37" i="6"/>
  <c r="D22" i="6"/>
  <c r="D19" i="6"/>
  <c r="D35" i="6"/>
  <c r="D20" i="6"/>
  <c r="C24" i="6"/>
  <c r="C39" i="6"/>
  <c r="C3" i="3" s="1"/>
  <c r="B6" i="5"/>
  <c r="F7" i="5" s="1"/>
  <c r="C4" i="7"/>
  <c r="B5" i="5"/>
  <c r="D33" i="6"/>
  <c r="D9" i="6"/>
  <c r="D18" i="6"/>
  <c r="F37" i="6" l="1"/>
  <c r="F20" i="6"/>
  <c r="E34" i="6"/>
  <c r="F33" i="6"/>
  <c r="F4" i="5"/>
  <c r="F21" i="6"/>
  <c r="E33" i="6"/>
  <c r="B4" i="3"/>
  <c r="B5" i="3" s="1"/>
  <c r="B5" i="10"/>
  <c r="B12" i="10" s="1"/>
  <c r="B11" i="10" s="1"/>
  <c r="E37" i="6"/>
  <c r="F7" i="12"/>
  <c r="F13" i="12"/>
  <c r="F19" i="6"/>
  <c r="E13" i="12"/>
  <c r="E9" i="6"/>
  <c r="E20" i="6"/>
  <c r="E7" i="12"/>
  <c r="F9" i="6"/>
  <c r="C2" i="3"/>
  <c r="D9" i="7" s="1"/>
  <c r="C6" i="7"/>
  <c r="C9" i="7"/>
  <c r="D4" i="7"/>
  <c r="F10" i="5"/>
  <c r="D24" i="6"/>
  <c r="F8" i="5"/>
  <c r="F3" i="5"/>
  <c r="F6" i="5"/>
  <c r="F9" i="5"/>
  <c r="F11" i="5"/>
  <c r="F2" i="5"/>
  <c r="F5" i="5"/>
  <c r="B2" i="10"/>
  <c r="B2" i="9"/>
  <c r="B9" i="9" s="1"/>
  <c r="D39" i="6"/>
  <c r="D3" i="3" s="1"/>
  <c r="E5" i="5"/>
  <c r="E2" i="5"/>
  <c r="E4" i="5"/>
  <c r="E3" i="5"/>
  <c r="E9" i="5"/>
  <c r="E6" i="5"/>
  <c r="E11" i="5"/>
  <c r="B3" i="5"/>
  <c r="E10" i="5"/>
  <c r="E8" i="5"/>
  <c r="B2" i="5"/>
  <c r="E7" i="5"/>
  <c r="C4" i="3"/>
  <c r="C5" i="10"/>
  <c r="C12" i="10" s="1"/>
  <c r="B6" i="10" l="1"/>
  <c r="F39" i="6"/>
  <c r="E39" i="6"/>
  <c r="E24" i="6"/>
  <c r="E2" i="3" s="1"/>
  <c r="F9" i="7" s="1"/>
  <c r="F24" i="6"/>
  <c r="F2" i="3" s="1"/>
  <c r="F2" i="10" s="1"/>
  <c r="C2" i="10"/>
  <c r="C5" i="3"/>
  <c r="C20" i="3" s="1"/>
  <c r="C22" i="3" s="1"/>
  <c r="C2" i="9"/>
  <c r="C9" i="9" s="1"/>
  <c r="E3" i="3"/>
  <c r="E4" i="3" s="1"/>
  <c r="F3" i="3"/>
  <c r="F5" i="10" s="1"/>
  <c r="F12" i="10" s="1"/>
  <c r="E4" i="7"/>
  <c r="D2" i="3"/>
  <c r="E9" i="7" s="1"/>
  <c r="G9" i="7"/>
  <c r="C16" i="7"/>
  <c r="E6" i="7"/>
  <c r="D6" i="7"/>
  <c r="D16" i="7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B20" i="3"/>
  <c r="B21" i="3"/>
  <c r="B6" i="3"/>
  <c r="F2" i="9" l="1"/>
  <c r="F9" i="9" s="1"/>
  <c r="G4" i="7"/>
  <c r="G6" i="7" s="1"/>
  <c r="G16" i="7" s="1"/>
  <c r="C6" i="3"/>
  <c r="C21" i="3"/>
  <c r="D2" i="9"/>
  <c r="D9" i="9" s="1"/>
  <c r="F11" i="10"/>
  <c r="F6" i="10"/>
  <c r="F4" i="3"/>
  <c r="F5" i="3" s="1"/>
  <c r="F6" i="3" s="1"/>
  <c r="D2" i="10"/>
  <c r="E16" i="7"/>
  <c r="B22" i="3"/>
  <c r="B23" i="3" s="1"/>
  <c r="B24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23" i="3"/>
  <c r="C14" i="4" s="1"/>
  <c r="C19" i="7" l="1"/>
  <c r="C21" i="7" s="1"/>
  <c r="C31" i="7" s="1"/>
  <c r="C32" i="7" s="1"/>
  <c r="C33" i="7" s="1"/>
  <c r="B4" i="4" s="1"/>
  <c r="F20" i="3"/>
  <c r="F22" i="3" s="1"/>
  <c r="F21" i="3"/>
  <c r="B28" i="3"/>
  <c r="B27" i="3"/>
  <c r="C24" i="3"/>
  <c r="C3" i="10"/>
  <c r="C13" i="10" s="1"/>
  <c r="H9" i="5"/>
  <c r="I9" i="5"/>
  <c r="J9" i="5" s="1"/>
  <c r="D11" i="10"/>
  <c r="D6" i="10"/>
  <c r="B14" i="4"/>
  <c r="B3" i="10"/>
  <c r="B13" i="10" s="1"/>
  <c r="C28" i="3"/>
  <c r="C27" i="3"/>
  <c r="D19" i="7"/>
  <c r="D21" i="7" s="1"/>
  <c r="D31" i="7" s="1"/>
  <c r="D32" i="7" s="1"/>
  <c r="E21" i="3"/>
  <c r="E20" i="3"/>
  <c r="E22" i="3" s="1"/>
  <c r="D6" i="3"/>
  <c r="D20" i="3"/>
  <c r="D22" i="3" s="1"/>
  <c r="D21" i="3"/>
  <c r="D33" i="7" l="1"/>
  <c r="C4" i="4" s="1"/>
  <c r="F23" i="3"/>
  <c r="F3" i="10" s="1"/>
  <c r="F13" i="10" s="1"/>
  <c r="B5" i="4"/>
  <c r="B10" i="4" s="1"/>
  <c r="D23" i="3"/>
  <c r="F28" i="3"/>
  <c r="F27" i="3"/>
  <c r="G19" i="7"/>
  <c r="G21" i="7" s="1"/>
  <c r="G31" i="7" s="1"/>
  <c r="G32" i="7" s="1"/>
  <c r="I10" i="5"/>
  <c r="J10" i="5" s="1"/>
  <c r="H10" i="5"/>
  <c r="F14" i="4" l="1"/>
  <c r="F24" i="3"/>
  <c r="B16" i="4"/>
  <c r="B13" i="4"/>
  <c r="C5" i="4"/>
  <c r="C10" i="4" s="1"/>
  <c r="C16" i="4" s="1"/>
  <c r="H11" i="5"/>
  <c r="I11" i="5"/>
  <c r="J11" i="5" s="1"/>
  <c r="E27" i="3"/>
  <c r="F19" i="7"/>
  <c r="F21" i="7" s="1"/>
  <c r="F31" i="7" s="1"/>
  <c r="F32" i="7" s="1"/>
  <c r="E28" i="3"/>
  <c r="D24" i="3"/>
  <c r="D3" i="10"/>
  <c r="D13" i="10" s="1"/>
  <c r="D14" i="4"/>
  <c r="E23" i="3"/>
  <c r="D27" i="3"/>
  <c r="D28" i="3"/>
  <c r="E19" i="7"/>
  <c r="E21" i="7" s="1"/>
  <c r="E31" i="7" s="1"/>
  <c r="E32" i="7" s="1"/>
  <c r="E33" i="7" s="1"/>
  <c r="C13" i="4" l="1"/>
  <c r="B15" i="4"/>
  <c r="F33" i="7"/>
  <c r="D4" i="4"/>
  <c r="E24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<sst xmlns="http://schemas.openxmlformats.org/spreadsheetml/2006/main" count="255" uniqueCount="163">
  <si>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</si>
  <si>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</si>
  <si>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</si>
  <si>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</si>
  <si>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</si>
  <si>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</si>
  <si>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</si>
  <si>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</si>
  <si>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</si>
  <si>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</si>
  <si>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</si>
  <si>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</si>
  <si>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</si>
  <si>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</si>
  <si>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</si>
  <si>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</si>
  <si>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</si>
  <si>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</si>
  <si>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</si>
  <si>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</si>
  <si>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</si>
  <si>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</si>
  <si>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</si>
  <si>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</si>
  <si>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</si>
  <si>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</si>
  <si>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</si>
  <si>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</si>
  <si>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</si>
  <si>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</si>
  <si>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</si>
  <si>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</si>
  <si>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</si>
  <si>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</si>
  <si>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</si>
  <si>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</si>
  <si>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</si>
  <si>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</si>
  <si>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</si>
  <si>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</si>
  <si>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</si>
  <si>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</si>
  <si>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</si>
  <si>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</si>
  <si>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</si>
  <si>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</si>
  <si>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</si>
  <si>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</si>
  <si>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</si>
  <si>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</si>
  <si>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</si>
  <si>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</si>
  <si>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</si>
  <si>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</si>
  <si>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</si>
  <si>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</si>
  <si>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</si>
  <si>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</si>
  <si>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</si>
  <si>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</si>
  <si>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</si>
  <si>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</si>
  <si>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</si>
  <si>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</si>
  <si>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</si>
  <si>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</si>
  <si>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</si>
  <si>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</si>
  <si>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</si>
  <si>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</si>
  <si>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</si>
  <si>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</si>
  <si>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</si>
  <si>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</si>
  <si>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</si>
  <si>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</si>
  <si>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</si>
  <si>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</si>
  <si>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</si>
  <si>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</si>
  <si>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</si>
  <si>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</si>
  <si>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</si>
  <si>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</si>
  <si>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</si>
  <si>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</si>
  <si>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</si>
  <si>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</si>
  <si>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</si>
  <si>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</si>
  <si>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</si>
  <si>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</si>
  <si>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</si>
  <si>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</si>
  <si>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</si>
  <si>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</si>
  <si>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</si>
  <si>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</si>
  <si>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</si>
  <si>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</si>
  <si>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</si>
  <si>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</si>
  <si>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</si>
  <si>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</si>
  <si>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</si>
  <si>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</si>
  <si>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</si>
  <si>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</si>
  <si>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</si>
  <si>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</si>
  <si>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</si>
  <si>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</si>
  <si>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</si>
  <si>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</si>
  <si>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</si>
  <si>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</si>
  <si>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</si>
  <si>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</si>
  <si>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</si>
  <si>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</si>
  <si>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</si>
  <si>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</si>
  <si>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</si>
  <si>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</si>
  <si>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</si>
  <si>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</si>
  <si>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</si>
  <si>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</si>
  <si>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</si>
  <si>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</si>
  <si>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</si>
  <si>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</si>
  <si>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</si>
  <si>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</si>
  <si>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</si>
  <si>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</si>
  <si>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</si>
  <si>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</si>
  <si>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</si>
  <si>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</si>
  <si>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</si>
  <si>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</si>
  <si>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</si>
  <si>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</si>
  <si>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</si>
  <si>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</si>
  <si>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</si>
  <si>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</si>
  <si>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</si>
  <si>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</si>
  <si>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</si>
  <si>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</si>
  <si>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</si>
  <si>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</si>
  <si>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Revenue Outlook</t>
  </si>
  <si>
    <t>Year</t>
  </si>
  <si>
    <t>Ravenue $ million</t>
  </si>
  <si>
    <t>Growth %</t>
  </si>
  <si>
    <t>Ravenue First Year</t>
  </si>
  <si>
    <t>Growth First Year</t>
  </si>
  <si>
    <t>Ratio Sales</t>
  </si>
  <si>
    <r>
      <t xml:space="preserve">Ratio Cost </t>
    </r>
    <r>
      <rPr>
        <sz val="9"/>
        <color theme="0" tint="-0.499984740745262"/>
        <rFont val="Calibri"/>
        <family val="2"/>
        <scheme val="minor"/>
      </rPr>
      <t>&lt; Ratio Sales</t>
    </r>
  </si>
  <si>
    <t>Average Percent Variable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</si>
</sst>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68" formatCode="0.000"/>
    <numFmt numFmtId="169" formatCode="#,##0.0"/>
    <numFmt numFmtId="170" formatCode="0.0%"/>
    <numFmt numFmtId="171" formatCode="0.0"/>
    <numFmt numFmtId="172" formatCode="0.00000%"/>
  </numFmts>
  <fonts count="20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5"/>
      <name val="Liberation Sans"/>
      <family val="2"/>
    </font>
    <font>
      <sz val="9"/>
      <color theme="1"/>
      <name val="Liberation Sans"/>
      <family val="2"/>
    </font>
    <font>
      <b/>
      <sz val="9"/>
      <color theme="1"/>
      <name val="Liberation Sans"/>
      <family val="2"/>
    </font>
    <font>
      <sz val="9"/>
      <color theme="0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</cellStyleXfs>
  <cellXfs count="253">
    <xf numFmtId="0" fontId="0" fillId="0" borderId="0" xfId="0"/>
    <xf numFmtId="0" fontId="2" fillId="0" borderId="0" xfId="0" applyFont="1" applyProtection="1">
      <protection locked="0"/>
    </xf>
    <xf numFmtId="167" fontId="3" fillId="0" borderId="0" xfId="0" applyNumberFormat="1" applyFont="1" applyAlignment="1" applyProtection="1">
      <alignment horizontal="right" vertical="center"/>
    </xf>
    <xf numFmtId="165" fontId="2" fillId="0" borderId="0" xfId="0" applyNumberFormat="1" applyFont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/>
    <xf numFmtId="166" fontId="3" fillId="0" borderId="0" xfId="0" applyNumberFormat="1" applyFont="1" applyAlignment="1" applyProtection="1"/>
    <xf numFmtId="49" fontId="3" fillId="0" borderId="0" xfId="0" applyNumberFormat="1" applyFont="1" applyAlignment="1" applyProtection="1"/>
    <xf numFmtId="0" fontId="2" fillId="0" borderId="0" xfId="0" applyFont="1" applyProtection="1"/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0" fontId="3" fillId="5" borderId="0" xfId="0" applyFont="1" applyFill="1" applyAlignment="1" applyProtection="1">
      <alignment horizontal="right" vertical="center"/>
    </xf>
    <xf numFmtId="10" fontId="2" fillId="0" borderId="0" xfId="0" applyNumberFormat="1" applyFont="1" applyProtection="1"/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0" fontId="2" fillId="0" borderId="0" xfId="0" applyFont="1"/>
    <xf numFmtId="49" fontId="15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4" fillId="5" borderId="0" xfId="0" applyFont="1" applyFill="1" applyAlignment="1" applyProtection="1">
      <alignment horizontal="right"/>
    </xf>
    <xf numFmtId="0" fontId="3" fillId="0" borderId="0" xfId="0" applyNumberFormat="1" applyFont="1" applyAlignment="1" applyProtection="1">
      <alignment horizontal="right" vertical="center"/>
    </xf>
    <xf numFmtId="0" fontId="3" fillId="5" borderId="0" xfId="0" applyNumberFormat="1" applyFont="1" applyFill="1" applyAlignment="1" applyProtection="1">
      <alignment horizontal="right"/>
    </xf>
    <xf numFmtId="3" fontId="4" fillId="5" borderId="7" xfId="0" applyNumberFormat="1" applyFont="1" applyFill="1" applyBorder="1" applyAlignment="1" applyProtection="1">
      <alignment horizontal="right" vertical="center"/>
    </xf>
    <xf numFmtId="3" fontId="4" fillId="5" borderId="8" xfId="0" applyNumberFormat="1" applyFont="1" applyFill="1" applyBorder="1" applyAlignment="1" applyProtection="1">
      <alignment horizontal="right" vertical="center"/>
    </xf>
    <xf numFmtId="49" fontId="12" fillId="12" borderId="4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6" fontId="12" fillId="14" borderId="4" xfId="0" applyNumberFormat="1" applyFont="1" applyFill="1" applyBorder="1" applyAlignment="1">
      <alignment horizontal="center" vertical="center"/>
    </xf>
    <xf numFmtId="0" fontId="13" fillId="0" borderId="0" xfId="0" applyFont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168" fontId="3" fillId="0" borderId="0" xfId="0" applyNumberFormat="1" applyFont="1" applyAlignment="1" applyProtection="1"/>
    <xf numFmtId="168" fontId="3" fillId="5" borderId="0" xfId="0" applyNumberFormat="1" applyFont="1" applyFill="1" applyAlignment="1" applyProtection="1"/>
    <xf numFmtId="49" fontId="2" fillId="0" borderId="0" xfId="0" applyNumberFormat="1" applyFont="1"/>
    <xf numFmtId="0" fontId="14" fillId="11" borderId="1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2" xfId="0" applyFont="1" applyFill="1" applyBorder="1" applyAlignment="1">
      <alignment vertical="center"/>
    </xf>
    <xf numFmtId="0" fontId="14" fillId="14" borderId="1" xfId="0" applyFont="1" applyFill="1" applyBorder="1" applyAlignment="1">
      <alignment vertical="center"/>
    </xf>
    <xf numFmtId="0" fontId="14" fillId="14" borderId="6" xfId="0" applyFont="1" applyFill="1" applyBorder="1" applyAlignment="1">
      <alignment vertical="center"/>
    </xf>
    <xf numFmtId="0" fontId="14" fillId="14" borderId="2" xfId="0" applyFont="1" applyFill="1" applyBorder="1" applyAlignment="1">
      <alignment vertical="center"/>
    </xf>
    <xf numFmtId="10" fontId="14" fillId="14" borderId="4" xfId="0" applyNumberFormat="1" applyFont="1" applyFill="1" applyBorder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9" fontId="14" fillId="14" borderId="4" xfId="0" applyNumberFormat="1" applyFont="1" applyFill="1" applyBorder="1" applyAlignment="1">
      <alignment horizontal="center" vertical="center"/>
    </xf>
    <xf numFmtId="6" fontId="3" fillId="14" borderId="4" xfId="7" applyNumberFormat="1" applyFont="1" applyFill="1" applyBorder="1" applyAlignment="1">
      <alignment horizontal="center" vertical="center"/>
    </xf>
    <xf numFmtId="6" fontId="3" fillId="0" borderId="4" xfId="7" applyNumberFormat="1" applyFont="1" applyBorder="1" applyAlignment="1">
      <alignment horizontal="center" vertical="center"/>
    </xf>
    <xf numFmtId="10" fontId="12" fillId="12" borderId="4" xfId="0" applyNumberFormat="1" applyFont="1" applyFill="1" applyBorder="1" applyAlignment="1">
      <alignment horizontal="center" vertical="center"/>
    </xf>
    <xf numFmtId="49" fontId="3" fillId="0" borderId="4" xfId="2" applyNumberFormat="1" applyFont="1" applyBorder="1" applyAlignment="1">
      <alignment horizontal="center" vertical="center"/>
    </xf>
    <xf numFmtId="49" fontId="12" fillId="0" borderId="4" xfId="2" applyNumberFormat="1" applyFont="1" applyBorder="1" applyAlignment="1">
      <alignment horizontal="center" vertical="center"/>
    </xf>
    <xf numFmtId="6" fontId="2" fillId="14" borderId="4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16" fillId="0" borderId="0" xfId="0" applyFont="1"/>
    <xf numFmtId="0" fontId="17" fillId="0" borderId="0" xfId="0" applyFont="1" applyBorder="1"/>
    <xf numFmtId="0" fontId="18" fillId="0" borderId="9" xfId="0" applyFont="1" applyBorder="1"/>
    <xf numFmtId="0" fontId="18" fillId="0" borderId="9" xfId="0" applyFont="1" applyBorder="1" applyAlignment="1">
      <alignment horizontal="right"/>
    </xf>
    <xf numFmtId="0" fontId="17" fillId="0" borderId="11" xfId="0" applyFont="1" applyBorder="1" applyAlignment="1">
      <alignment horizontal="left"/>
    </xf>
    <xf numFmtId="169" fontId="17" fillId="0" borderId="11" xfId="0" applyNumberFormat="1" applyFont="1" applyBorder="1" applyAlignment="1">
      <alignment horizontal="right" indent="1"/>
    </xf>
    <xf numFmtId="171" fontId="17" fillId="0" borderId="11" xfId="0" applyNumberFormat="1" applyFont="1" applyBorder="1" applyAlignment="1">
      <alignment horizontal="right"/>
    </xf>
    <xf numFmtId="169" fontId="17" fillId="0" borderId="12" xfId="0" applyNumberFormat="1" applyFont="1" applyBorder="1" applyAlignment="1">
      <alignment horizontal="right" indent="1"/>
    </xf>
    <xf numFmtId="171" fontId="17" fillId="0" borderId="10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69" fontId="2" fillId="0" borderId="0" xfId="0" applyNumberFormat="1" applyFont="1" applyBorder="1" applyAlignment="1">
      <alignment vertical="center"/>
    </xf>
    <xf numFmtId="169" fontId="2" fillId="5" borderId="0" xfId="0" applyNumberFormat="1" applyFont="1" applyFill="1" applyBorder="1" applyAlignment="1">
      <alignment vertical="center"/>
    </xf>
    <xf numFmtId="170" fontId="2" fillId="5" borderId="0" xfId="0" applyNumberFormat="1" applyFont="1" applyFill="1" applyBorder="1" applyAlignment="1">
      <alignment vertical="center"/>
    </xf>
    <xf numFmtId="0" fontId="13" fillId="0" borderId="0" xfId="0" applyFont="1"/>
    <xf numFmtId="0" fontId="17" fillId="0" borderId="13" xfId="0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/>
    </xf>
    <xf numFmtId="6" fontId="3" fillId="6" borderId="5" xfId="4" applyNumberFormat="1" applyFont="1" applyFill="1" applyBorder="1" applyAlignment="1">
      <alignment horizontal="center" vertical="center"/>
    </xf>
    <xf numFmtId="6" fontId="3" fillId="6" borderId="1" xfId="4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right"/>
    </xf>
    <xf numFmtId="0" fontId="13" fillId="5" borderId="0" xfId="0" applyFont="1" applyFill="1"/>
    <xf numFmtId="0" fontId="9" fillId="2" borderId="1" xfId="1" applyNumberFormat="1" applyFont="1" applyFill="1" applyBorder="1" applyAlignment="1"/>
    <xf numFmtId="0" fontId="10" fillId="2" borderId="2" xfId="1" applyNumberFormat="1" applyFont="1" applyFill="1" applyBorder="1" applyAlignment="1"/>
    <xf numFmtId="0" fontId="4" fillId="3" borderId="1" xfId="1" applyNumberFormat="1" applyFont="1" applyFill="1" applyBorder="1" applyAlignment="1"/>
    <xf numFmtId="0" fontId="4" fillId="3" borderId="2" xfId="1" applyNumberFormat="1" applyFont="1" applyFill="1" applyBorder="1" applyAlignment="1"/>
    <xf numFmtId="0" fontId="4" fillId="7" borderId="1" xfId="1" applyNumberFormat="1" applyFont="1" applyFill="1" applyBorder="1" applyAlignment="1">
      <alignment horizontal="left"/>
    </xf>
    <xf numFmtId="0" fontId="4" fillId="7" borderId="5" xfId="1" applyNumberFormat="1" applyFont="1" applyFill="1" applyBorder="1" applyAlignment="1">
      <alignment horizontal="left"/>
    </xf>
    <xf numFmtId="0" fontId="3" fillId="0" borderId="1" xfId="1" applyNumberFormat="1" applyFont="1" applyBorder="1" applyAlignment="1"/>
    <xf numFmtId="6" fontId="3" fillId="0" borderId="5" xfId="1" applyNumberFormat="1" applyFont="1" applyBorder="1" applyAlignment="1">
      <alignment horizontal="right"/>
    </xf>
    <xf numFmtId="0" fontId="4" fillId="0" borderId="1" xfId="1" applyNumberFormat="1" applyFont="1" applyBorder="1" applyAlignment="1"/>
    <xf numFmtId="6" fontId="4" fillId="0" borderId="5" xfId="1" applyNumberFormat="1" applyFont="1" applyBorder="1" applyAlignment="1">
      <alignment horizontal="right"/>
    </xf>
    <xf numFmtId="0" fontId="4" fillId="3" borderId="3" xfId="1" applyNumberFormat="1" applyFont="1" applyFill="1" applyBorder="1" applyAlignment="1"/>
    <xf numFmtId="6" fontId="4" fillId="3" borderId="4" xfId="1" applyNumberFormat="1" applyFont="1" applyFill="1" applyBorder="1" applyAlignment="1">
      <alignment horizontal="right"/>
    </xf>
    <xf numFmtId="49" fontId="9" fillId="2" borderId="1" xfId="0" applyNumberFormat="1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4" fillId="6" borderId="1" xfId="2" applyNumberFormat="1" applyFont="1" applyFill="1" applyBorder="1" applyAlignment="1">
      <alignment horizontal="center" vertical="center"/>
    </xf>
    <xf numFmtId="5" fontId="3" fillId="6" borderId="1" xfId="2" applyNumberFormat="1" applyFont="1" applyFill="1" applyBorder="1" applyAlignment="1">
      <alignment horizontal="center" vertical="center"/>
    </xf>
    <xf numFmtId="5" fontId="3" fillId="6" borderId="5" xfId="2" applyNumberFormat="1" applyFont="1" applyFill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5" fontId="3" fillId="0" borderId="1" xfId="2" applyNumberFormat="1" applyFont="1" applyBorder="1" applyAlignment="1">
      <alignment horizontal="center" vertical="center"/>
    </xf>
    <xf numFmtId="5" fontId="3" fillId="0" borderId="5" xfId="2" applyNumberFormat="1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10" fontId="3" fillId="0" borderId="1" xfId="2" applyNumberFormat="1" applyFont="1" applyBorder="1" applyAlignment="1">
      <alignment horizontal="center" vertical="center"/>
    </xf>
    <xf numFmtId="10" fontId="3" fillId="0" borderId="5" xfId="2" applyNumberFormat="1" applyFont="1" applyBorder="1" applyAlignment="1">
      <alignment horizontal="center" vertical="center"/>
    </xf>
    <xf numFmtId="49" fontId="3" fillId="6" borderId="1" xfId="2" applyNumberFormat="1" applyFont="1" applyFill="1" applyBorder="1" applyAlignment="1">
      <alignment horizontal="center" vertical="center"/>
    </xf>
    <xf numFmtId="49" fontId="3" fillId="6" borderId="6" xfId="2" applyNumberFormat="1" applyFont="1" applyFill="1" applyBorder="1" applyAlignment="1">
      <alignment horizontal="center" vertical="center"/>
    </xf>
    <xf numFmtId="49" fontId="3" fillId="6" borderId="2" xfId="2" applyNumberFormat="1" applyFont="1" applyFill="1" applyBorder="1" applyAlignment="1">
      <alignment horizontal="center" vertical="center"/>
    </xf>
    <xf numFmtId="6" fontId="3" fillId="0" borderId="1" xfId="2" applyNumberFormat="1" applyFont="1" applyBorder="1" applyAlignment="1">
      <alignment horizontal="center" vertical="center"/>
    </xf>
    <xf numFmtId="6" fontId="3" fillId="0" borderId="5" xfId="2" applyNumberFormat="1" applyFont="1" applyBorder="1" applyAlignment="1">
      <alignment horizontal="center" vertical="center"/>
    </xf>
    <xf numFmtId="6" fontId="3" fillId="6" borderId="1" xfId="2" applyNumberFormat="1" applyFont="1" applyFill="1" applyBorder="1" applyAlignment="1">
      <alignment horizontal="center" vertical="center"/>
    </xf>
    <xf numFmtId="6" fontId="3" fillId="6" borderId="5" xfId="2" applyNumberFormat="1" applyFont="1" applyFill="1" applyBorder="1" applyAlignment="1">
      <alignment horizontal="center" vertical="center"/>
    </xf>
    <xf numFmtId="49" fontId="4" fillId="7" borderId="3" xfId="2" applyNumberFormat="1" applyFont="1" applyFill="1" applyBorder="1" applyAlignment="1">
      <alignment horizontal="center" vertical="center"/>
    </xf>
    <xf numFmtId="10" fontId="3" fillId="7" borderId="3" xfId="2" applyNumberFormat="1" applyFont="1" applyFill="1" applyBorder="1" applyAlignment="1">
      <alignment horizontal="center" vertical="center"/>
    </xf>
    <xf numFmtId="10" fontId="3" fillId="7" borderId="4" xfId="2" applyNumberFormat="1" applyFont="1" applyFill="1" applyBorder="1" applyAlignment="1">
      <alignment horizontal="center" vertical="center"/>
    </xf>
    <xf numFmtId="49" fontId="8" fillId="8" borderId="1" xfId="0" applyNumberFormat="1" applyFont="1" applyFill="1" applyBorder="1"/>
    <xf numFmtId="10" fontId="8" fillId="8" borderId="1" xfId="0" applyNumberFormat="1" applyFont="1" applyFill="1" applyBorder="1"/>
    <xf numFmtId="49" fontId="8" fillId="8" borderId="1" xfId="0" applyNumberFormat="1" applyFont="1" applyFill="1" applyBorder="1" applyAlignment="1">
      <alignment horizontal="center" vertical="center"/>
    </xf>
    <xf numFmtId="49" fontId="8" fillId="8" borderId="5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/>
    <xf numFmtId="10" fontId="13" fillId="6" borderId="1" xfId="0" applyNumberFormat="1" applyFont="1" applyFill="1" applyBorder="1"/>
    <xf numFmtId="0" fontId="13" fillId="6" borderId="6" xfId="0" applyFont="1" applyFill="1" applyBorder="1"/>
    <xf numFmtId="0" fontId="13" fillId="6" borderId="2" xfId="0" applyFont="1" applyFill="1" applyBorder="1"/>
    <xf numFmtId="49" fontId="13" fillId="0" borderId="1" xfId="0" applyNumberFormat="1" applyFont="1" applyBorder="1"/>
    <xf numFmtId="10" fontId="13" fillId="0" borderId="1" xfId="0" applyNumberFormat="1" applyFont="1" applyBorder="1"/>
    <xf numFmtId="5" fontId="13" fillId="0" borderId="1" xfId="0" applyNumberFormat="1" applyFont="1" applyBorder="1"/>
    <xf numFmtId="5" fontId="13" fillId="0" borderId="6" xfId="0" applyNumberFormat="1" applyFont="1" applyBorder="1"/>
    <xf numFmtId="5" fontId="13" fillId="0" borderId="2" xfId="0" applyNumberFormat="1" applyFont="1" applyBorder="1"/>
    <xf numFmtId="5" fontId="13" fillId="0" borderId="5" xfId="0" applyNumberFormat="1" applyFont="1" applyBorder="1"/>
    <xf numFmtId="49" fontId="7" fillId="0" borderId="1" xfId="0" applyNumberFormat="1" applyFont="1" applyBorder="1"/>
    <xf numFmtId="10" fontId="13" fillId="0" borderId="1" xfId="0" applyNumberFormat="1" applyFont="1" applyBorder="1" applyAlignment="1">
      <alignment horizontal="right"/>
    </xf>
    <xf numFmtId="5" fontId="13" fillId="6" borderId="1" xfId="0" applyNumberFormat="1" applyFont="1" applyFill="1" applyBorder="1"/>
    <xf numFmtId="5" fontId="13" fillId="6" borderId="5" xfId="0" applyNumberFormat="1" applyFont="1" applyFill="1" applyBorder="1"/>
    <xf numFmtId="49" fontId="7" fillId="7" borderId="3" xfId="0" applyNumberFormat="1" applyFont="1" applyFill="1" applyBorder="1"/>
    <xf numFmtId="10" fontId="13" fillId="7" borderId="3" xfId="0" applyNumberFormat="1" applyFont="1" applyFill="1" applyBorder="1"/>
    <xf numFmtId="5" fontId="13" fillId="7" borderId="3" xfId="0" applyNumberFormat="1" applyFont="1" applyFill="1" applyBorder="1"/>
    <xf numFmtId="5" fontId="13" fillId="7" borderId="4" xfId="0" applyNumberFormat="1" applyFont="1" applyFill="1" applyBorder="1"/>
    <xf numFmtId="0" fontId="9" fillId="2" borderId="1" xfId="3" applyNumberFormat="1" applyFont="1" applyFill="1" applyBorder="1" applyAlignment="1">
      <alignment horizontal="center" vertical="center"/>
    </xf>
    <xf numFmtId="1" fontId="9" fillId="2" borderId="1" xfId="3" applyNumberFormat="1" applyFont="1" applyFill="1" applyBorder="1" applyAlignment="1">
      <alignment horizontal="center" vertical="center"/>
    </xf>
    <xf numFmtId="1" fontId="9" fillId="2" borderId="5" xfId="3" applyNumberFormat="1" applyFont="1" applyFill="1" applyBorder="1" applyAlignment="1">
      <alignment horizontal="center" vertical="center"/>
    </xf>
    <xf numFmtId="0" fontId="4" fillId="3" borderId="1" xfId="3" applyNumberFormat="1" applyFont="1" applyFill="1" applyBorder="1" applyAlignment="1">
      <alignment horizontal="center" vertical="center"/>
    </xf>
    <xf numFmtId="1" fontId="4" fillId="3" borderId="1" xfId="3" applyNumberFormat="1" applyFont="1" applyFill="1" applyBorder="1" applyAlignment="1">
      <alignment horizontal="center" vertical="center"/>
    </xf>
    <xf numFmtId="1" fontId="4" fillId="3" borderId="6" xfId="3" applyNumberFormat="1" applyFont="1" applyFill="1" applyBorder="1" applyAlignment="1">
      <alignment horizontal="center" vertical="center"/>
    </xf>
    <xf numFmtId="1" fontId="4" fillId="3" borderId="2" xfId="3" applyNumberFormat="1" applyFont="1" applyFill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" fontId="3" fillId="0" borderId="1" xfId="3" applyNumberFormat="1" applyFont="1" applyBorder="1" applyAlignment="1">
      <alignment horizontal="center" vertical="center"/>
    </xf>
    <xf numFmtId="1" fontId="3" fillId="0" borderId="6" xfId="3" applyNumberFormat="1" applyFont="1" applyBorder="1" applyAlignment="1">
      <alignment horizontal="center" vertical="center"/>
    </xf>
    <xf numFmtId="1" fontId="3" fillId="0" borderId="2" xfId="3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5" fontId="3" fillId="0" borderId="1" xfId="3" applyNumberFormat="1" applyFont="1" applyBorder="1" applyAlignment="1">
      <alignment horizontal="center" vertical="center"/>
    </xf>
    <xf numFmtId="5" fontId="3" fillId="0" borderId="5" xfId="3" applyNumberFormat="1" applyFont="1" applyBorder="1" applyAlignment="1">
      <alignment horizontal="center" vertical="center"/>
    </xf>
    <xf numFmtId="1" fontId="3" fillId="6" borderId="1" xfId="3" applyNumberFormat="1" applyFont="1" applyFill="1" applyBorder="1" applyAlignment="1">
      <alignment horizontal="center" vertical="center"/>
    </xf>
    <xf numFmtId="1" fontId="3" fillId="6" borderId="5" xfId="3" applyNumberFormat="1" applyFont="1" applyFill="1" applyBorder="1" applyAlignment="1">
      <alignment horizontal="center" vertical="center"/>
    </xf>
    <xf numFmtId="0" fontId="4" fillId="6" borderId="3" xfId="3" applyNumberFormat="1" applyFont="1" applyFill="1" applyBorder="1" applyAlignment="1">
      <alignment horizontal="center" vertical="center"/>
    </xf>
    <xf numFmtId="5" fontId="3" fillId="6" borderId="3" xfId="3" applyNumberFormat="1" applyFont="1" applyFill="1" applyBorder="1" applyAlignment="1">
      <alignment horizontal="center" vertical="center"/>
    </xf>
    <xf numFmtId="5" fontId="3" fillId="6" borderId="4" xfId="3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3" fontId="12" fillId="0" borderId="1" xfId="0" applyNumberFormat="1" applyFont="1" applyBorder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3" fontId="7" fillId="7" borderId="4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49" fontId="7" fillId="6" borderId="3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4" xfId="0" applyNumberFormat="1" applyFont="1" applyFill="1" applyBorder="1" applyAlignment="1">
      <alignment horizontal="center" vertical="center"/>
    </xf>
    <xf numFmtId="49" fontId="8" fillId="2" borderId="1" xfId="4" applyNumberFormat="1" applyFont="1" applyFill="1" applyBorder="1" applyAlignment="1">
      <alignment horizontal="center" vertical="center"/>
    </xf>
    <xf numFmtId="49" fontId="8" fillId="2" borderId="5" xfId="4" applyNumberFormat="1" applyFont="1" applyFill="1" applyBorder="1" applyAlignment="1">
      <alignment horizontal="center" vertical="center"/>
    </xf>
    <xf numFmtId="49" fontId="4" fillId="3" borderId="1" xfId="4" applyNumberFormat="1" applyFont="1" applyFill="1" applyBorder="1" applyAlignment="1">
      <alignment horizontal="center" vertical="center"/>
    </xf>
    <xf numFmtId="49" fontId="3" fillId="3" borderId="1" xfId="4" applyNumberFormat="1" applyFont="1" applyFill="1" applyBorder="1" applyAlignment="1">
      <alignment horizontal="center" vertical="center"/>
    </xf>
    <xf numFmtId="49" fontId="3" fillId="3" borderId="6" xfId="4" applyNumberFormat="1" applyFont="1" applyFill="1" applyBorder="1" applyAlignment="1">
      <alignment horizontal="center" vertical="center"/>
    </xf>
    <xf numFmtId="49" fontId="3" fillId="3" borderId="2" xfId="4" applyNumberFormat="1" applyFont="1" applyFill="1" applyBorder="1" applyAlignment="1">
      <alignment horizontal="center" vertical="center"/>
    </xf>
    <xf numFmtId="49" fontId="3" fillId="0" borderId="1" xfId="4" applyNumberFormat="1" applyFont="1" applyBorder="1" applyAlignment="1">
      <alignment horizontal="center" vertical="center"/>
    </xf>
    <xf numFmtId="6" fontId="3" fillId="0" borderId="1" xfId="4" applyNumberFormat="1" applyFont="1" applyBorder="1" applyAlignment="1">
      <alignment horizontal="center" vertical="center"/>
    </xf>
    <xf numFmtId="6" fontId="3" fillId="0" borderId="5" xfId="4" applyNumberFormat="1" applyFont="1" applyBorder="1" applyAlignment="1">
      <alignment horizontal="center" vertical="center"/>
    </xf>
    <xf numFmtId="49" fontId="4" fillId="0" borderId="1" xfId="4" applyNumberFormat="1" applyFont="1" applyBorder="1" applyAlignment="1">
      <alignment horizontal="center" vertical="center"/>
    </xf>
    <xf numFmtId="49" fontId="4" fillId="6" borderId="1" xfId="4" applyNumberFormat="1" applyFont="1" applyFill="1" applyBorder="1" applyAlignment="1">
      <alignment horizontal="center" vertical="center"/>
    </xf>
    <xf numFmtId="6" fontId="4" fillId="6" borderId="1" xfId="4" applyNumberFormat="1" applyFont="1" applyFill="1" applyBorder="1" applyAlignment="1">
      <alignment horizontal="center" vertical="center"/>
    </xf>
    <xf numFmtId="6" fontId="4" fillId="6" borderId="6" xfId="4" applyNumberFormat="1" applyFont="1" applyFill="1" applyBorder="1" applyAlignment="1">
      <alignment horizontal="center" vertical="center"/>
    </xf>
    <xf numFmtId="6" fontId="4" fillId="6" borderId="2" xfId="4" applyNumberFormat="1" applyFont="1" applyFill="1" applyBorder="1" applyAlignment="1">
      <alignment horizontal="center" vertical="center"/>
    </xf>
    <xf numFmtId="49" fontId="4" fillId="6" borderId="3" xfId="4" applyNumberFormat="1" applyFont="1" applyFill="1" applyBorder="1" applyAlignment="1">
      <alignment horizontal="center" vertical="center"/>
    </xf>
    <xf numFmtId="6" fontId="3" fillId="6" borderId="3" xfId="4" applyNumberFormat="1" applyFont="1" applyFill="1" applyBorder="1" applyAlignment="1">
      <alignment horizontal="center" vertical="center"/>
    </xf>
    <xf numFmtId="6" fontId="3" fillId="6" borderId="4" xfId="4" applyNumberFormat="1" applyFont="1" applyFill="1" applyBorder="1" applyAlignment="1">
      <alignment horizontal="center" vertical="center"/>
    </xf>
    <xf numFmtId="38" fontId="3" fillId="0" borderId="1" xfId="4" applyNumberFormat="1" applyFont="1" applyBorder="1" applyAlignment="1">
      <alignment horizontal="center" vertical="center"/>
    </xf>
    <xf numFmtId="38" fontId="3" fillId="0" borderId="5" xfId="4" applyNumberFormat="1" applyFont="1" applyBorder="1" applyAlignment="1">
      <alignment horizontal="center" vertical="center"/>
    </xf>
    <xf numFmtId="1" fontId="3" fillId="6" borderId="1" xfId="4" applyNumberFormat="1" applyFont="1" applyFill="1" applyBorder="1" applyAlignment="1">
      <alignment horizontal="center" vertical="center"/>
    </xf>
    <xf numFmtId="1" fontId="3" fillId="6" borderId="5" xfId="4" applyNumberFormat="1" applyFont="1" applyFill="1" applyBorder="1" applyAlignment="1">
      <alignment horizontal="center" vertical="center"/>
    </xf>
    <xf numFmtId="0" fontId="3" fillId="0" borderId="1" xfId="4" applyNumberFormat="1" applyFont="1" applyBorder="1" applyAlignment="1">
      <alignment horizontal="center" vertical="center"/>
    </xf>
    <xf numFmtId="6" fontId="3" fillId="3" borderId="1" xfId="4" applyNumberFormat="1" applyFont="1" applyFill="1" applyBorder="1" applyAlignment="1">
      <alignment horizontal="center" vertical="center"/>
    </xf>
    <xf numFmtId="6" fontId="3" fillId="3" borderId="6" xfId="4" applyNumberFormat="1" applyFont="1" applyFill="1" applyBorder="1" applyAlignment="1">
      <alignment horizontal="center" vertical="center"/>
    </xf>
    <xf numFmtId="6" fontId="3" fillId="3" borderId="2" xfId="4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6" fontId="12" fillId="14" borderId="1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12" fillId="12" borderId="2" xfId="0" applyFont="1" applyFill="1" applyBorder="1" applyAlignment="1">
      <alignment vertical="center"/>
    </xf>
    <xf numFmtId="0" fontId="12" fillId="12" borderId="1" xfId="0" applyFont="1" applyFill="1" applyBorder="1" applyAlignment="1">
      <alignment horizontal="center" vertical="center"/>
    </xf>
    <xf numFmtId="6" fontId="12" fillId="0" borderId="1" xfId="0" applyNumberFormat="1" applyFont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6" fontId="12" fillId="13" borderId="1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0" fontId="14" fillId="14" borderId="3" xfId="0" applyNumberFormat="1" applyFont="1" applyFill="1" applyBorder="1" applyAlignment="1">
      <alignment horizontal="center" vertical="center"/>
    </xf>
    <xf numFmtId="0" fontId="19" fillId="0" borderId="0" xfId="0" applyFont="1" applyAlignment="1" applyProtection="1">
      <alignment horizontal="right"/>
    </xf>
    <xf numFmtId="0" fontId="2" fillId="0" borderId="0" xfId="0" applyFont="1" applyBorder="1" applyAlignment="1"/>
    <xf numFmtId="0" fontId="2" fillId="0" borderId="0" xfId="0" applyNumberFormat="1" applyFont="1" applyBorder="1" applyAlignment="1">
      <alignment wrapText="1"/>
    </xf>
    <xf numFmtId="172" fontId="2" fillId="10" borderId="0" xfId="0" applyNumberFormat="1" applyFont="1" applyFill="1" applyAlignment="1" applyProtection="1">
      <alignment horizontal="center"/>
    </xf>
    <xf numFmtId="9" fontId="2" fillId="0" borderId="4" xfId="0" applyNumberFormat="1" applyFont="1" applyBorder="1" applyAlignment="1" applyProtection="1">
      <alignment horizontal="center" vertical="center"/>
    </xf>
    <xf numFmtId="6" fontId="2" fillId="0" borderId="4" xfId="0" applyNumberFormat="1" applyFont="1" applyBorder="1" applyAlignment="1" applyProtection="1">
      <alignment horizontal="center" vertical="center"/>
    </xf>
    <xf numFmtId="0" fontId="8" fillId="9" borderId="1" xfId="0" applyFont="1" applyFill="1" applyBorder="1" applyAlignment="1" applyProtection="1">
      <alignment horizontal="center" vertical="center"/>
    </xf>
    <xf numFmtId="0" fontId="8" fillId="8" borderId="1" xfId="0" applyFont="1" applyFill="1" applyBorder="1" applyAlignment="1" applyProtection="1">
      <alignment horizontal="center" vertical="center"/>
    </xf>
    <xf numFmtId="0" fontId="8" fillId="8" borderId="5" xfId="0" applyFont="1" applyFill="1" applyBorder="1" applyAlignment="1" applyProtection="1">
      <alignment horizontal="center" vertical="center"/>
    </xf>
    <xf numFmtId="49" fontId="3" fillId="0" borderId="4" xfId="5" applyNumberFormat="1" applyFont="1" applyBorder="1" applyAlignment="1" applyProtection="1">
      <alignment horizontal="center" vertical="center"/>
    </xf>
    <xf numFmtId="3" fontId="3" fillId="0" borderId="4" xfId="5" applyNumberFormat="1" applyFont="1" applyBorder="1" applyAlignment="1" applyProtection="1">
      <alignment horizontal="center" vertical="center"/>
    </xf>
    <xf numFmtId="3" fontId="2" fillId="7" borderId="1" xfId="0" applyNumberFormat="1" applyFont="1" applyFill="1" applyBorder="1" applyAlignment="1" applyProtection="1">
      <alignment horizontal="center" vertical="center"/>
    </xf>
    <xf numFmtId="8" fontId="3" fillId="9" borderId="1" xfId="6" applyNumberFormat="1" applyFont="1" applyFill="1" applyBorder="1" applyAlignment="1" applyProtection="1">
      <alignment horizontal="center" vertical="center"/>
    </xf>
    <xf numFmtId="8" fontId="3" fillId="0" borderId="1" xfId="6" applyNumberFormat="1" applyFont="1" applyBorder="1" applyAlignment="1" applyProtection="1">
      <alignment horizontal="center" vertical="center"/>
    </xf>
    <xf numFmtId="8" fontId="3" fillId="0" borderId="5" xfId="6" applyNumberFormat="1" applyFont="1" applyBorder="1" applyAlignment="1" applyProtection="1">
      <alignment horizontal="center" vertical="center"/>
    </xf>
    <xf numFmtId="165" fontId="3" fillId="0" borderId="4" xfId="5" applyNumberFormat="1" applyFont="1" applyBorder="1" applyAlignment="1" applyProtection="1">
      <alignment horizontal="center" vertical="center"/>
    </xf>
    <xf numFmtId="166" fontId="3" fillId="0" borderId="4" xfId="5" applyNumberFormat="1" applyFont="1" applyBorder="1" applyAlignment="1" applyProtection="1">
      <alignment horizontal="center" vertical="center"/>
    </xf>
    <xf numFmtId="3" fontId="2" fillId="9" borderId="1" xfId="0" applyNumberFormat="1" applyFont="1" applyFill="1" applyBorder="1" applyAlignment="1" applyProtection="1">
      <alignment horizontal="center" vertical="center"/>
    </xf>
    <xf numFmtId="3" fontId="2" fillId="7" borderId="3" xfId="0" applyNumberFormat="1" applyFont="1" applyFill="1" applyBorder="1" applyAlignment="1" applyProtection="1">
      <alignment horizontal="center" vertical="center"/>
    </xf>
    <xf numFmtId="8" fontId="3" fillId="9" borderId="3" xfId="6" applyNumberFormat="1" applyFont="1" applyFill="1" applyBorder="1" applyAlignment="1" applyProtection="1">
      <alignment horizontal="center" vertical="center"/>
    </xf>
    <xf numFmtId="8" fontId="3" fillId="0" borderId="3" xfId="6" applyNumberFormat="1" applyFont="1" applyBorder="1" applyAlignment="1" applyProtection="1">
      <alignment horizontal="center" vertical="center"/>
    </xf>
    <xf numFmtId="8" fontId="3" fillId="0" borderId="4" xfId="6" applyNumberFormat="1" applyFont="1" applyBorder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49" fontId="9" fillId="2" borderId="4" xfId="5" applyNumberFormat="1" applyFont="1" applyFill="1" applyBorder="1" applyAlignment="1" applyProtection="1">
      <alignment horizontal="center" vertical="center"/>
    </xf>
    <xf numFmtId="49" fontId="4" fillId="3" borderId="4" xfId="5" applyNumberFormat="1" applyFont="1" applyFill="1" applyBorder="1" applyAlignment="1" applyProtection="1">
      <alignment horizontal="center" vertical="center"/>
    </xf>
    <xf numFmtId="49" fontId="8" fillId="8" borderId="3" xfId="0" applyNumberFormat="1" applyFont="1" applyFill="1" applyBorder="1" applyAlignment="1" applyProtection="1">
      <alignment horizontal="center" vertical="center"/>
    </xf>
    <xf numFmtId="49" fontId="8" fillId="8" borderId="14" xfId="0" applyNumberFormat="1" applyFont="1" applyFill="1" applyBorder="1" applyAlignment="1" applyProtection="1">
      <alignment horizontal="center" vertical="center"/>
    </xf>
    <xf numFmtId="49" fontId="7" fillId="6" borderId="3" xfId="0" applyNumberFormat="1" applyFont="1" applyFill="1" applyBorder="1" applyAlignment="1" applyProtection="1">
      <alignment horizontal="center" vertical="center"/>
    </xf>
    <xf numFmtId="49" fontId="7" fillId="6" borderId="14" xfId="0" applyNumberFormat="1" applyFont="1" applyFill="1" applyBorder="1" applyAlignment="1" applyProtection="1">
      <alignment horizontal="center" vertical="center"/>
    </xf>
  </cellXfs>
  <cellStyles count="8">
    <cellStyle name="Normal" xfId="0" builtinId="0"/>
    <cellStyle name="Normal_BEA" xfId="6"/>
    <cellStyle name="Normal_Break-even" xfId="5"/>
    <cellStyle name="Normal_Profit and Loss" xfId="7"/>
    <cellStyle name="Normal_Sheet1" xfId="1"/>
    <cellStyle name="Normal_Sheet3" xfId="2"/>
    <cellStyle name="Normal_Sheet4" xfId="3"/>
    <cellStyle name="Normal_Sheet6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loss'!$A$27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loss'!$B$27:$F$27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loss'!$A$28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loss'!$A$23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loss'!$B$23:$F$23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9525</xdr:rowOff>
        </xdr:from>
        <xdr:to>
          <xdr:col>6</xdr:col>
          <xdr:colOff>590550</xdr:colOff>
          <xdr:row>2</xdr:row>
          <xdr:rowOff>66675</xdr:rowOff>
        </xdr:to>
        <xdr:sp macro="" textlink="">
          <xdr:nvSpPr>
            <xdr:cNvPr id="16385" name="addSaleVB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95250</xdr:rowOff>
        </xdr:from>
        <xdr:to>
          <xdr:col>6</xdr:col>
          <xdr:colOff>590550</xdr:colOff>
          <xdr:row>5</xdr:row>
          <xdr:rowOff>0</xdr:rowOff>
        </xdr:to>
        <xdr:sp macro="" textlink="">
          <xdr:nvSpPr>
            <xdr:cNvPr id="16386" name="delSaleVB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38100</xdr:rowOff>
    </xdr:from>
    <xdr:ext cx="3256917" cy="937564"/>
    <xdr:sp macro="" textlink="">
      <xdr:nvSpPr>
        <xdr:cNvPr id="2" name="TextBox 1"/>
        <xdr:cNvSpPr txBox="1"/>
      </xdr:nvSpPr>
      <xdr:spPr>
        <a:xfrm>
          <a:off x="5753100" y="381000"/>
          <a:ext cx="3256917" cy="9375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Instructions:</a:t>
          </a:r>
        </a:p>
        <a:p>
          <a:r>
            <a:rPr lang="en-US" sz="900"/>
            <a:t>1.</a:t>
          </a:r>
          <a:r>
            <a:rPr lang="en-US" sz="900" baseline="0"/>
            <a:t> Enter data from first year in cells above</a:t>
          </a:r>
        </a:p>
        <a:p>
          <a:r>
            <a:rPr lang="en-US" sz="900" baseline="0"/>
            <a:t>2. Add or delete rows as needed</a:t>
          </a:r>
        </a:p>
        <a:p>
          <a:r>
            <a:rPr lang="en-US" sz="900" baseline="0"/>
            <a:t>3. On adding new rown extend formula from row above manually</a:t>
          </a:r>
        </a:p>
        <a:p>
          <a:r>
            <a:rPr lang="en-US" sz="900" baseline="0"/>
            <a:t>4. Fill up "Year" column</a:t>
          </a:r>
        </a:p>
        <a:p>
          <a:r>
            <a:rPr lang="en-US" sz="900" baseline="0"/>
            <a:t>5. Fill up "Growth %" column as you wish</a:t>
          </a:r>
          <a:endParaRPr lang="en-US" sz="9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tabSelected="1" zoomScale="150" zoomScaleNormal="150" workbookViewId="0">
      <selection activeCell="B10" sqref="B10"/>
    </sheetView>
  </sheetViews>
  <sheetFormatPr defaultRowHeight="12"/>
  <cols>
    <col min="1" max="1" width="26.85546875" style="1" bestFit="1" customWidth="1"/>
    <col min="2" max="2" width="15.5703125" style="1" customWidth="1"/>
    <col min="3" max="16384" width="9.140625" style="1"/>
  </cols>
  <sheetData>
    <row r="1" spans="1:2">
      <c r="A1" s="83" t="s">
        <v>12</v>
      </c>
      <c r="B1" s="84"/>
    </row>
    <row r="2" spans="1:2">
      <c r="A2" s="85" t="s">
        <v>8</v>
      </c>
      <c r="B2" s="86"/>
    </row>
    <row r="3" spans="1:2">
      <c r="A3" s="87"/>
      <c r="B3" s="88"/>
    </row>
    <row r="4" spans="1:2">
      <c r="A4" s="85" t="s">
        <v>5</v>
      </c>
      <c r="B4" s="86"/>
    </row>
    <row r="5" spans="1:2">
      <c r="A5" s="89" t="s">
        <v>14</v>
      </c>
      <c r="B5" s="90"/>
    </row>
    <row r="6" spans="1:2">
      <c r="A6" s="89" t="s">
        <v>13</v>
      </c>
      <c r="B6" s="90"/>
    </row>
    <row r="7" spans="1:2">
      <c r="A7" s="89" t="s">
        <v>0</v>
      </c>
      <c r="B7" s="90"/>
    </row>
    <row r="8" spans="1:2">
      <c r="A8" s="89" t="s">
        <v>16</v>
      </c>
      <c r="B8" s="90"/>
    </row>
    <row r="9" spans="1:2">
      <c r="A9" s="89" t="s">
        <v>11</v>
      </c>
      <c r="B9" s="90"/>
    </row>
    <row r="10" spans="1:2">
      <c r="A10" s="89" t="s">
        <v>15</v>
      </c>
      <c r="B10" s="90"/>
    </row>
    <row r="11" spans="1:2">
      <c r="A11" s="91" t="s">
        <v>9</v>
      </c>
      <c r="B11" s="92">
        <f>SUM(B5:B10)</f>
        <v>0</v>
      </c>
    </row>
    <row r="12" spans="1:2">
      <c r="A12" s="85" t="s">
        <v>1</v>
      </c>
      <c r="B12" s="86"/>
    </row>
    <row r="13" spans="1:2">
      <c r="A13" s="89" t="s">
        <v>3</v>
      </c>
      <c r="B13" s="90"/>
    </row>
    <row r="14" spans="1:2">
      <c r="A14" s="89" t="s">
        <v>10</v>
      </c>
      <c r="B14" s="90"/>
    </row>
    <row r="15" spans="1:2">
      <c r="A15" s="89" t="s">
        <v>7</v>
      </c>
      <c r="B15" s="90"/>
    </row>
    <row r="16" spans="1:2">
      <c r="A16" s="89" t="s">
        <v>6</v>
      </c>
      <c r="B16" s="90"/>
    </row>
    <row r="17" spans="1:2">
      <c r="A17" s="91" t="s">
        <v>2</v>
      </c>
      <c r="B17" s="92">
        <f>SUM(B13:B16)</f>
        <v>0</v>
      </c>
    </row>
    <row r="18" spans="1:2">
      <c r="A18" s="93" t="s">
        <v>4</v>
      </c>
      <c r="B18" s="94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M26"/>
  <sheetViews>
    <sheetView zoomScale="150" zoomScaleNormal="150" workbookViewId="0">
      <selection activeCell="A2" sqref="A2"/>
    </sheetView>
  </sheetViews>
  <sheetFormatPr defaultRowHeight="12"/>
  <cols>
    <col min="1" max="1" width="44.5703125" style="8" bestFit="1" customWidth="1"/>
    <col min="2" max="6" width="8.5703125" style="8" customWidth="1"/>
    <col min="7" max="7" width="12.42578125" style="8" customWidth="1"/>
    <col min="8" max="8" width="6.85546875" style="8" bestFit="1" customWidth="1"/>
    <col min="9" max="9" width="4" style="8" customWidth="1"/>
    <col min="10" max="16384" width="9.140625" style="8"/>
  </cols>
  <sheetData>
    <row r="1" spans="1:10">
      <c r="A1" s="157" t="s">
        <v>71</v>
      </c>
      <c r="B1" s="157" t="s">
        <v>66</v>
      </c>
      <c r="C1" s="157" t="s">
        <v>67</v>
      </c>
      <c r="D1" s="157" t="s">
        <v>68</v>
      </c>
      <c r="E1" s="157" t="s">
        <v>69</v>
      </c>
      <c r="F1" s="158" t="s">
        <v>70</v>
      </c>
    </row>
    <row r="2" spans="1:10">
      <c r="A2" s="159"/>
      <c r="B2" s="160"/>
      <c r="C2" s="160">
        <f>Personnel!$B2</f>
        <v>0</v>
      </c>
      <c r="D2" s="160">
        <f>Personnel!$C2</f>
        <v>0</v>
      </c>
      <c r="E2" s="160">
        <f>Personnel!$D2</f>
        <v>0</v>
      </c>
      <c r="F2" s="161">
        <f>Personnel!$E2</f>
        <v>0</v>
      </c>
    </row>
    <row r="3" spans="1:10">
      <c r="A3" s="159"/>
      <c r="B3" s="160"/>
      <c r="C3" s="160">
        <f>Personnel!$B3</f>
        <v>0</v>
      </c>
      <c r="D3" s="160">
        <f>Personnel!$C3</f>
        <v>0</v>
      </c>
      <c r="E3" s="160">
        <f>Personnel!$D3</f>
        <v>0</v>
      </c>
      <c r="F3" s="161">
        <f>Personnel!$E3</f>
        <v>0</v>
      </c>
    </row>
    <row r="4" spans="1:10">
      <c r="A4" s="159"/>
      <c r="B4" s="160"/>
      <c r="C4" s="160">
        <f>Personnel!$B4</f>
        <v>0</v>
      </c>
      <c r="D4" s="160">
        <f>Personnel!$C4</f>
        <v>0</v>
      </c>
      <c r="E4" s="160">
        <f>Personnel!$D4</f>
        <v>0</v>
      </c>
      <c r="F4" s="161">
        <f>Personnel!$E4</f>
        <v>0</v>
      </c>
    </row>
    <row r="5" spans="1:10">
      <c r="A5" s="159"/>
      <c r="B5" s="160"/>
      <c r="C5" s="160">
        <f>Personnel!$B5</f>
        <v>0</v>
      </c>
      <c r="D5" s="160">
        <f>Personnel!$C5</f>
        <v>0</v>
      </c>
      <c r="E5" s="160">
        <f>Personnel!$D5</f>
        <v>0</v>
      </c>
      <c r="F5" s="161">
        <f>Personnel!$E5</f>
        <v>0</v>
      </c>
    </row>
    <row r="6" spans="1:10">
      <c r="A6" s="159"/>
      <c r="B6" s="160"/>
      <c r="C6" s="160">
        <f>Personnel!$B6</f>
        <v>0</v>
      </c>
      <c r="D6" s="160">
        <f>Personnel!$C6</f>
        <v>0</v>
      </c>
      <c r="E6" s="160">
        <f>Personnel!$D6</f>
        <v>0</v>
      </c>
      <c r="F6" s="161">
        <f>Personnel!$E6</f>
        <v>0</v>
      </c>
    </row>
    <row r="7" spans="1:10">
      <c r="A7" s="159"/>
      <c r="B7" s="160"/>
      <c r="C7" s="160">
        <f>Personnel!$B7</f>
        <v>0</v>
      </c>
      <c r="D7" s="160">
        <f>Personnel!$C7</f>
        <v>0</v>
      </c>
      <c r="E7" s="160">
        <f>Personnel!$D7</f>
        <v>0</v>
      </c>
      <c r="F7" s="161">
        <f>Personnel!$E7</f>
        <v>0</v>
      </c>
    </row>
    <row r="8" spans="1:10">
      <c r="A8" s="162" t="s">
        <v>64</v>
      </c>
      <c r="B8" s="163">
        <f>SUM(B2:B7)</f>
        <v>0</v>
      </c>
      <c r="C8" s="163">
        <f>SUM(C2:C7)</f>
        <v>0</v>
      </c>
      <c r="D8" s="163">
        <f>SUM(D2:D7)</f>
        <v>0</v>
      </c>
      <c r="E8" s="163">
        <f>SUM(E2:E7)</f>
        <v>0</v>
      </c>
      <c r="F8" s="164">
        <f>SUM(F2:F7)</f>
        <v>0</v>
      </c>
      <c r="G8" s="9"/>
    </row>
    <row r="9" spans="1:10">
      <c r="A9" s="10"/>
      <c r="B9" s="10"/>
      <c r="C9" s="10"/>
      <c r="D9" s="10"/>
      <c r="E9" s="10"/>
      <c r="F9" s="10"/>
      <c r="G9" s="9"/>
    </row>
    <row r="10" spans="1:10">
      <c r="A10" s="157" t="s">
        <v>72</v>
      </c>
      <c r="B10" s="157" t="s">
        <v>66</v>
      </c>
      <c r="C10" s="157" t="s">
        <v>67</v>
      </c>
      <c r="D10" s="157" t="s">
        <v>68</v>
      </c>
      <c r="E10" s="157" t="s">
        <v>69</v>
      </c>
      <c r="F10" s="158" t="s">
        <v>70</v>
      </c>
      <c r="G10" s="11" t="s">
        <v>120</v>
      </c>
      <c r="H10" s="12" t="s">
        <v>74</v>
      </c>
      <c r="I10" s="25"/>
      <c r="J10" s="25"/>
    </row>
    <row r="11" spans="1:10">
      <c r="A11" s="165">
        <f t="shared" ref="A11:A16" si="0">A2</f>
        <v>0</v>
      </c>
      <c r="B11" s="166">
        <f t="shared" ref="B11:B16" si="1">IF(B2&lt;&gt;0,G11,0)</f>
        <v>0</v>
      </c>
      <c r="C11" s="166">
        <f t="shared" ref="C11:F16" si="2">IF(C2&lt;&gt;0,IF(B11&lt;&gt;0,B11*(100%+$H11),$G11),0)</f>
        <v>0</v>
      </c>
      <c r="D11" s="166">
        <f t="shared" si="2"/>
        <v>0</v>
      </c>
      <c r="E11" s="166">
        <f t="shared" si="2"/>
        <v>0</v>
      </c>
      <c r="F11" s="167">
        <f t="shared" si="2"/>
        <v>0</v>
      </c>
      <c r="G11" s="13">
        <v>0</v>
      </c>
      <c r="H11" s="14">
        <v>0.05</v>
      </c>
      <c r="I11" s="15"/>
    </row>
    <row r="12" spans="1:10">
      <c r="A12" s="165">
        <f t="shared" si="0"/>
        <v>0</v>
      </c>
      <c r="B12" s="166">
        <f t="shared" si="1"/>
        <v>0</v>
      </c>
      <c r="C12" s="166">
        <f t="shared" si="2"/>
        <v>0</v>
      </c>
      <c r="D12" s="166">
        <f t="shared" si="2"/>
        <v>0</v>
      </c>
      <c r="E12" s="166">
        <f t="shared" si="2"/>
        <v>0</v>
      </c>
      <c r="F12" s="167">
        <f t="shared" si="2"/>
        <v>0</v>
      </c>
      <c r="G12" s="13">
        <v>0</v>
      </c>
      <c r="H12" s="14">
        <v>0.05</v>
      </c>
      <c r="I12" s="15"/>
    </row>
    <row r="13" spans="1:10">
      <c r="A13" s="165">
        <f t="shared" si="0"/>
        <v>0</v>
      </c>
      <c r="B13" s="166">
        <f t="shared" si="1"/>
        <v>0</v>
      </c>
      <c r="C13" s="166">
        <f t="shared" si="2"/>
        <v>0</v>
      </c>
      <c r="D13" s="166">
        <f t="shared" si="2"/>
        <v>0</v>
      </c>
      <c r="E13" s="166">
        <f t="shared" si="2"/>
        <v>0</v>
      </c>
      <c r="F13" s="167">
        <f t="shared" si="2"/>
        <v>0</v>
      </c>
      <c r="G13" s="13">
        <v>0</v>
      </c>
      <c r="H13" s="14">
        <v>0.05</v>
      </c>
      <c r="I13" s="15"/>
    </row>
    <row r="14" spans="1:10">
      <c r="A14" s="165">
        <f t="shared" si="0"/>
        <v>0</v>
      </c>
      <c r="B14" s="166">
        <f t="shared" si="1"/>
        <v>0</v>
      </c>
      <c r="C14" s="166">
        <f t="shared" si="2"/>
        <v>0</v>
      </c>
      <c r="D14" s="166">
        <f t="shared" si="2"/>
        <v>0</v>
      </c>
      <c r="E14" s="166">
        <f t="shared" si="2"/>
        <v>0</v>
      </c>
      <c r="F14" s="167">
        <f t="shared" si="2"/>
        <v>0</v>
      </c>
      <c r="G14" s="13">
        <v>0</v>
      </c>
      <c r="H14" s="14">
        <v>0.05</v>
      </c>
      <c r="I14" s="15"/>
    </row>
    <row r="15" spans="1:10">
      <c r="A15" s="165">
        <f t="shared" si="0"/>
        <v>0</v>
      </c>
      <c r="B15" s="166">
        <f t="shared" si="1"/>
        <v>0</v>
      </c>
      <c r="C15" s="166">
        <f t="shared" si="2"/>
        <v>0</v>
      </c>
      <c r="D15" s="166">
        <f t="shared" si="2"/>
        <v>0</v>
      </c>
      <c r="E15" s="166">
        <f t="shared" si="2"/>
        <v>0</v>
      </c>
      <c r="F15" s="167">
        <f t="shared" si="2"/>
        <v>0</v>
      </c>
      <c r="G15" s="13">
        <v>0</v>
      </c>
      <c r="H15" s="14">
        <v>0.05</v>
      </c>
      <c r="I15" s="15"/>
    </row>
    <row r="16" spans="1:10">
      <c r="A16" s="165">
        <f t="shared" si="0"/>
        <v>0</v>
      </c>
      <c r="B16" s="166">
        <f t="shared" si="1"/>
        <v>0</v>
      </c>
      <c r="C16" s="166">
        <f t="shared" si="2"/>
        <v>0</v>
      </c>
      <c r="D16" s="166">
        <f t="shared" si="2"/>
        <v>0</v>
      </c>
      <c r="E16" s="166">
        <f t="shared" si="2"/>
        <v>0</v>
      </c>
      <c r="F16" s="167">
        <f t="shared" si="2"/>
        <v>0</v>
      </c>
      <c r="G16" s="13">
        <v>0</v>
      </c>
      <c r="H16" s="14">
        <v>0.05</v>
      </c>
      <c r="I16" s="15"/>
    </row>
    <row r="18" spans="1:13">
      <c r="A18" s="157" t="s">
        <v>17</v>
      </c>
      <c r="B18" s="157" t="s">
        <v>66</v>
      </c>
      <c r="C18" s="157" t="s">
        <v>67</v>
      </c>
      <c r="D18" s="157" t="s">
        <v>68</v>
      </c>
      <c r="E18" s="157" t="s">
        <v>69</v>
      </c>
      <c r="F18" s="158" t="s">
        <v>70</v>
      </c>
    </row>
    <row r="19" spans="1:13">
      <c r="A19" s="165">
        <f t="shared" ref="A19:A25" si="3">A2</f>
        <v>0</v>
      </c>
      <c r="B19" s="166">
        <f t="shared" ref="B19:B24" si="4">B2*B11</f>
        <v>0</v>
      </c>
      <c r="C19" s="166">
        <f t="shared" ref="C19:F24" si="5">B19*(100%+$H11)+(C2-B2)*$G11</f>
        <v>0</v>
      </c>
      <c r="D19" s="166">
        <f t="shared" si="5"/>
        <v>0</v>
      </c>
      <c r="E19" s="166">
        <f t="shared" si="5"/>
        <v>0</v>
      </c>
      <c r="F19" s="167">
        <f t="shared" si="5"/>
        <v>0</v>
      </c>
      <c r="J19" s="26"/>
      <c r="K19" s="26"/>
      <c r="L19" s="26"/>
      <c r="M19" s="26"/>
    </row>
    <row r="20" spans="1:13">
      <c r="A20" s="165">
        <f t="shared" si="3"/>
        <v>0</v>
      </c>
      <c r="B20" s="166">
        <f t="shared" si="4"/>
        <v>0</v>
      </c>
      <c r="C20" s="166">
        <f t="shared" si="5"/>
        <v>0</v>
      </c>
      <c r="D20" s="166">
        <f t="shared" si="5"/>
        <v>0</v>
      </c>
      <c r="E20" s="166">
        <f t="shared" si="5"/>
        <v>0</v>
      </c>
      <c r="F20" s="167">
        <f t="shared" si="5"/>
        <v>0</v>
      </c>
      <c r="J20" s="26"/>
      <c r="K20" s="26"/>
      <c r="L20" s="26"/>
      <c r="M20" s="26"/>
    </row>
    <row r="21" spans="1:13">
      <c r="A21" s="165">
        <f t="shared" si="3"/>
        <v>0</v>
      </c>
      <c r="B21" s="166">
        <f t="shared" si="4"/>
        <v>0</v>
      </c>
      <c r="C21" s="166">
        <f t="shared" si="5"/>
        <v>0</v>
      </c>
      <c r="D21" s="166">
        <f t="shared" si="5"/>
        <v>0</v>
      </c>
      <c r="E21" s="166">
        <f t="shared" si="5"/>
        <v>0</v>
      </c>
      <c r="F21" s="167">
        <f t="shared" si="5"/>
        <v>0</v>
      </c>
      <c r="J21" s="26"/>
      <c r="K21" s="26"/>
      <c r="L21" s="26"/>
      <c r="M21" s="26"/>
    </row>
    <row r="22" spans="1:13">
      <c r="A22" s="165">
        <f t="shared" si="3"/>
        <v>0</v>
      </c>
      <c r="B22" s="166">
        <f t="shared" si="4"/>
        <v>0</v>
      </c>
      <c r="C22" s="166">
        <f t="shared" si="5"/>
        <v>0</v>
      </c>
      <c r="D22" s="166">
        <f t="shared" si="5"/>
        <v>0</v>
      </c>
      <c r="E22" s="166">
        <f t="shared" si="5"/>
        <v>0</v>
      </c>
      <c r="F22" s="167">
        <f t="shared" si="5"/>
        <v>0</v>
      </c>
      <c r="J22" s="26"/>
      <c r="K22" s="26"/>
      <c r="L22" s="26"/>
      <c r="M22" s="26"/>
    </row>
    <row r="23" spans="1:13">
      <c r="A23" s="165">
        <f t="shared" si="3"/>
        <v>0</v>
      </c>
      <c r="B23" s="166">
        <f t="shared" si="4"/>
        <v>0</v>
      </c>
      <c r="C23" s="166">
        <f t="shared" si="5"/>
        <v>0</v>
      </c>
      <c r="D23" s="166">
        <f t="shared" si="5"/>
        <v>0</v>
      </c>
      <c r="E23" s="166">
        <f t="shared" si="5"/>
        <v>0</v>
      </c>
      <c r="F23" s="167">
        <f t="shared" si="5"/>
        <v>0</v>
      </c>
      <c r="J23" s="26"/>
      <c r="K23" s="26"/>
      <c r="L23" s="26"/>
      <c r="M23" s="26"/>
    </row>
    <row r="24" spans="1:13">
      <c r="A24" s="165">
        <f t="shared" si="3"/>
        <v>0</v>
      </c>
      <c r="B24" s="166">
        <f t="shared" si="4"/>
        <v>0</v>
      </c>
      <c r="C24" s="166">
        <f t="shared" si="5"/>
        <v>0</v>
      </c>
      <c r="D24" s="166">
        <f t="shared" si="5"/>
        <v>0</v>
      </c>
      <c r="E24" s="166">
        <f t="shared" si="5"/>
        <v>0</v>
      </c>
      <c r="F24" s="167">
        <f t="shared" si="5"/>
        <v>0</v>
      </c>
      <c r="J24" s="26"/>
      <c r="K24" s="26"/>
      <c r="L24" s="26"/>
      <c r="M24" s="26"/>
    </row>
    <row r="25" spans="1:13">
      <c r="A25" s="168" t="str">
        <f t="shared" si="3"/>
        <v>Total Employees</v>
      </c>
      <c r="B25" s="169">
        <f>B8</f>
        <v>0</v>
      </c>
      <c r="C25" s="169">
        <f t="shared" ref="C25:F25" si="6">C8</f>
        <v>0</v>
      </c>
      <c r="D25" s="169">
        <f t="shared" si="6"/>
        <v>0</v>
      </c>
      <c r="E25" s="169">
        <f t="shared" si="6"/>
        <v>0</v>
      </c>
      <c r="F25" s="170">
        <f t="shared" si="6"/>
        <v>0</v>
      </c>
    </row>
    <row r="26" spans="1:13">
      <c r="A26" s="171" t="s">
        <v>73</v>
      </c>
      <c r="B26" s="172">
        <f>SUM(B19:B24)</f>
        <v>0</v>
      </c>
      <c r="C26" s="172">
        <f>SUM(C19:C24)</f>
        <v>0</v>
      </c>
      <c r="D26" s="172">
        <f>SUM(D19:D24)</f>
        <v>0</v>
      </c>
      <c r="E26" s="172">
        <f>SUM(E19:E24)</f>
        <v>0</v>
      </c>
      <c r="F26" s="173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:R13"/>
  <sheetViews>
    <sheetView zoomScale="150" zoomScaleNormal="150" workbookViewId="0">
      <selection activeCell="A3" sqref="A3"/>
    </sheetView>
  </sheetViews>
  <sheetFormatPr defaultRowHeight="12"/>
  <cols>
    <col min="1" max="1" width="33.42578125" style="73" customWidth="1"/>
    <col min="2" max="6" width="14.28515625" style="73" customWidth="1"/>
    <col min="7" max="7" width="9.140625" style="73"/>
    <col min="8" max="12" width="4.5703125" style="75" customWidth="1"/>
    <col min="13" max="13" width="9.140625" style="73"/>
    <col min="14" max="18" width="7.140625" style="73" customWidth="1"/>
    <col min="19" max="16384" width="9.140625" style="73"/>
  </cols>
  <sheetData>
    <row r="1" spans="1:18">
      <c r="A1" s="174" t="s">
        <v>59</v>
      </c>
      <c r="B1" s="174" t="s">
        <v>18</v>
      </c>
      <c r="C1" s="174" t="s">
        <v>19</v>
      </c>
      <c r="D1" s="174" t="s">
        <v>20</v>
      </c>
      <c r="E1" s="174" t="s">
        <v>21</v>
      </c>
      <c r="F1" s="175" t="s">
        <v>22</v>
      </c>
      <c r="H1" s="241" t="s">
        <v>160</v>
      </c>
      <c r="I1" s="241"/>
      <c r="J1" s="241"/>
      <c r="K1" s="241"/>
      <c r="L1" s="241"/>
    </row>
    <row r="2" spans="1:18">
      <c r="A2" s="176" t="s">
        <v>30</v>
      </c>
      <c r="B2" s="177"/>
      <c r="C2" s="178"/>
      <c r="D2" s="178"/>
      <c r="E2" s="178"/>
      <c r="F2" s="179"/>
      <c r="H2" s="76" t="s">
        <v>149</v>
      </c>
      <c r="I2" s="76" t="s">
        <v>150</v>
      </c>
      <c r="J2" s="76" t="s">
        <v>151</v>
      </c>
      <c r="K2" s="76" t="s">
        <v>152</v>
      </c>
      <c r="L2" s="76" t="s">
        <v>153</v>
      </c>
    </row>
    <row r="3" spans="1:18">
      <c r="A3" s="180"/>
      <c r="B3" s="181">
        <f t="shared" ref="B3:F6" si="0">ROUND(H3*N$7,0)</f>
        <v>0</v>
      </c>
      <c r="C3" s="181">
        <f t="shared" si="0"/>
        <v>0</v>
      </c>
      <c r="D3" s="181">
        <f t="shared" si="0"/>
        <v>0</v>
      </c>
      <c r="E3" s="181">
        <f t="shared" si="0"/>
        <v>0</v>
      </c>
      <c r="F3" s="182">
        <f t="shared" si="0"/>
        <v>0</v>
      </c>
      <c r="H3" s="77">
        <v>0</v>
      </c>
      <c r="I3" s="78">
        <f>H3</f>
        <v>0</v>
      </c>
      <c r="J3" s="78">
        <f t="shared" ref="J3:L3" si="1">I3</f>
        <v>0</v>
      </c>
      <c r="K3" s="78">
        <f t="shared" si="1"/>
        <v>0</v>
      </c>
      <c r="L3" s="78">
        <f t="shared" si="1"/>
        <v>0</v>
      </c>
      <c r="N3" s="73">
        <f t="shared" ref="N3:R6" si="2">H3-H9</f>
        <v>0</v>
      </c>
      <c r="O3" s="73">
        <f t="shared" si="2"/>
        <v>0</v>
      </c>
      <c r="P3" s="73">
        <f t="shared" si="2"/>
        <v>0</v>
      </c>
      <c r="Q3" s="73">
        <f t="shared" si="2"/>
        <v>0</v>
      </c>
      <c r="R3" s="73">
        <f t="shared" si="2"/>
        <v>0</v>
      </c>
    </row>
    <row r="4" spans="1:18">
      <c r="A4" s="180"/>
      <c r="B4" s="181">
        <f t="shared" si="0"/>
        <v>0</v>
      </c>
      <c r="C4" s="181">
        <f t="shared" si="0"/>
        <v>0</v>
      </c>
      <c r="D4" s="181">
        <f t="shared" si="0"/>
        <v>0</v>
      </c>
      <c r="E4" s="181">
        <f t="shared" si="0"/>
        <v>0</v>
      </c>
      <c r="F4" s="182">
        <f t="shared" si="0"/>
        <v>0</v>
      </c>
      <c r="H4" s="77">
        <v>0</v>
      </c>
      <c r="I4" s="78">
        <f t="shared" ref="I4:L6" si="3">H4</f>
        <v>0</v>
      </c>
      <c r="J4" s="78">
        <f t="shared" si="3"/>
        <v>0</v>
      </c>
      <c r="K4" s="78">
        <f t="shared" si="3"/>
        <v>0</v>
      </c>
      <c r="L4" s="78">
        <f t="shared" si="3"/>
        <v>0</v>
      </c>
      <c r="N4" s="73">
        <f t="shared" si="2"/>
        <v>0</v>
      </c>
      <c r="O4" s="73">
        <f t="shared" si="2"/>
        <v>0</v>
      </c>
      <c r="P4" s="73">
        <f t="shared" si="2"/>
        <v>0</v>
      </c>
      <c r="Q4" s="73">
        <f t="shared" si="2"/>
        <v>0</v>
      </c>
      <c r="R4" s="73">
        <f t="shared" si="2"/>
        <v>0</v>
      </c>
    </row>
    <row r="5" spans="1:18">
      <c r="A5" s="180"/>
      <c r="B5" s="181">
        <f t="shared" si="0"/>
        <v>0</v>
      </c>
      <c r="C5" s="181">
        <f t="shared" si="0"/>
        <v>0</v>
      </c>
      <c r="D5" s="181">
        <f t="shared" si="0"/>
        <v>0</v>
      </c>
      <c r="E5" s="181">
        <f t="shared" si="0"/>
        <v>0</v>
      </c>
      <c r="F5" s="182">
        <f t="shared" si="0"/>
        <v>0</v>
      </c>
      <c r="H5" s="77">
        <v>0</v>
      </c>
      <c r="I5" s="78">
        <f t="shared" ref="I5" si="4">H5</f>
        <v>0</v>
      </c>
      <c r="J5" s="78">
        <f t="shared" ref="J5" si="5">I5</f>
        <v>0</v>
      </c>
      <c r="K5" s="78">
        <f t="shared" ref="K5" si="6">J5</f>
        <v>0</v>
      </c>
      <c r="L5" s="78">
        <f t="shared" ref="L5" si="7">K5</f>
        <v>0</v>
      </c>
      <c r="N5" s="73">
        <f t="shared" si="2"/>
        <v>0</v>
      </c>
      <c r="O5" s="73">
        <f t="shared" si="2"/>
        <v>0</v>
      </c>
      <c r="P5" s="73">
        <f t="shared" si="2"/>
        <v>0</v>
      </c>
      <c r="Q5" s="73">
        <f t="shared" si="2"/>
        <v>0</v>
      </c>
      <c r="R5" s="73">
        <f t="shared" si="2"/>
        <v>0</v>
      </c>
    </row>
    <row r="6" spans="1:18">
      <c r="A6" s="180"/>
      <c r="B6" s="181">
        <f t="shared" si="0"/>
        <v>0</v>
      </c>
      <c r="C6" s="181">
        <f t="shared" si="0"/>
        <v>0</v>
      </c>
      <c r="D6" s="181">
        <f t="shared" si="0"/>
        <v>0</v>
      </c>
      <c r="E6" s="181">
        <f t="shared" si="0"/>
        <v>0</v>
      </c>
      <c r="F6" s="182">
        <f t="shared" si="0"/>
        <v>0</v>
      </c>
      <c r="H6" s="77">
        <v>0</v>
      </c>
      <c r="I6" s="78">
        <f t="shared" si="3"/>
        <v>0</v>
      </c>
      <c r="J6" s="78">
        <f t="shared" si="3"/>
        <v>0</v>
      </c>
      <c r="K6" s="78">
        <f t="shared" si="3"/>
        <v>0</v>
      </c>
      <c r="L6" s="78">
        <f t="shared" si="3"/>
        <v>0</v>
      </c>
      <c r="N6" s="73">
        <f t="shared" si="2"/>
        <v>0</v>
      </c>
      <c r="O6" s="73">
        <f t="shared" si="2"/>
        <v>0</v>
      </c>
      <c r="P6" s="73">
        <f t="shared" si="2"/>
        <v>0</v>
      </c>
      <c r="Q6" s="73">
        <f t="shared" si="2"/>
        <v>0</v>
      </c>
      <c r="R6" s="73">
        <f t="shared" si="2"/>
        <v>0</v>
      </c>
    </row>
    <row r="7" spans="1:18">
      <c r="A7" s="183" t="s">
        <v>62</v>
      </c>
      <c r="B7" s="181">
        <f>SUM(B3:B6)</f>
        <v>0</v>
      </c>
      <c r="C7" s="181">
        <f>SUM(C3:C6)</f>
        <v>0</v>
      </c>
      <c r="D7" s="181">
        <f>SUM(D3:D6)</f>
        <v>0</v>
      </c>
      <c r="E7" s="181">
        <f>SUM(E3:E6)</f>
        <v>0</v>
      </c>
      <c r="F7" s="182">
        <f>SUM(F3:F6)</f>
        <v>0</v>
      </c>
      <c r="H7" s="242" t="s">
        <v>161</v>
      </c>
      <c r="I7" s="242"/>
      <c r="J7" s="242"/>
      <c r="K7" s="242"/>
      <c r="L7" s="242"/>
      <c r="M7" s="81" t="s">
        <v>76</v>
      </c>
      <c r="N7" s="82">
        <f>IF((100%-'Profit and loss'!$G$22)*SUM(N3:N6)-'Profit and loss'!B25*SUM(H3:H6)=0,0,(100%-'Profit and loss'!$G$22)*'Profit and loss'!B19/((100%-'Profit and loss'!$G$22)*SUM(N3:N6)-'Profit and loss'!B25*SUM(H3:H6)))</f>
        <v>0</v>
      </c>
      <c r="O7" s="82">
        <f>IF((100%-'Profit and loss'!$G$22)*SUM(O3:O6)-'Profit and loss'!C25*SUM(I3:I6)=0,0,(100%-'Profit and loss'!$G$22)*'Profit and loss'!C19/((100%-'Profit and loss'!$G$22)*SUM(O3:O6)-'Profit and loss'!C25*SUM(I3:I6)))</f>
        <v>0</v>
      </c>
      <c r="P7" s="82">
        <f>IF((100%-'Profit and loss'!$G$22)*SUM(P3:P6)-'Profit and loss'!D25*SUM(J3:J6)=0,0,(100%-'Profit and loss'!$G$22)*'Profit and loss'!D19/((100%-'Profit and loss'!$G$22)*SUM(P3:P6)-'Profit and loss'!D25*SUM(J3:J6)))</f>
        <v>0</v>
      </c>
      <c r="Q7" s="82">
        <f>IF((100%-'Profit and loss'!$G$22)*SUM(Q3:Q6)-'Profit and loss'!E25*SUM(K3:K6)=0,0,(100%-'Profit and loss'!$G$22)*'Profit and loss'!E19/((100%-'Profit and loss'!$G$22)*SUM(Q3:Q6)-'Profit and loss'!E25*SUM(K3:K6)))</f>
        <v>0</v>
      </c>
      <c r="R7" s="82">
        <f>IF((100%-'Profit and loss'!$G$22)*SUM(R3:R6)-'Profit and loss'!F25*SUM(L3:L6)=0,0,(100%-'Profit and loss'!$G$22)*'Profit and loss'!F19/((100%-'Profit and loss'!$G$22)*SUM(R3:R6)-'Profit and loss'!F25*SUM(L3:L6)))</f>
        <v>0</v>
      </c>
    </row>
    <row r="8" spans="1:18">
      <c r="A8" s="184" t="s">
        <v>31</v>
      </c>
      <c r="B8" s="185"/>
      <c r="C8" s="186"/>
      <c r="D8" s="186"/>
      <c r="E8" s="186"/>
      <c r="F8" s="187"/>
      <c r="H8" s="76" t="s">
        <v>149</v>
      </c>
      <c r="I8" s="76" t="s">
        <v>150</v>
      </c>
      <c r="J8" s="76" t="s">
        <v>151</v>
      </c>
      <c r="K8" s="76" t="s">
        <v>152</v>
      </c>
      <c r="L8" s="76" t="s">
        <v>153</v>
      </c>
    </row>
    <row r="9" spans="1:18">
      <c r="A9" s="180">
        <f>A3</f>
        <v>0</v>
      </c>
      <c r="B9" s="181">
        <f>ROUND(H9*N$7,0)</f>
        <v>0</v>
      </c>
      <c r="C9" s="181">
        <f t="shared" ref="C9:F9" si="8">ROUND(I9*O$7,0)</f>
        <v>0</v>
      </c>
      <c r="D9" s="181">
        <f t="shared" si="8"/>
        <v>0</v>
      </c>
      <c r="E9" s="181">
        <f t="shared" si="8"/>
        <v>0</v>
      </c>
      <c r="F9" s="182">
        <f t="shared" si="8"/>
        <v>0</v>
      </c>
      <c r="H9" s="77">
        <v>0</v>
      </c>
      <c r="I9" s="78">
        <f>H9</f>
        <v>0</v>
      </c>
      <c r="J9" s="78">
        <f t="shared" ref="J9:L9" si="9">I9</f>
        <v>0</v>
      </c>
      <c r="K9" s="78">
        <f t="shared" si="9"/>
        <v>0</v>
      </c>
      <c r="L9" s="78">
        <f t="shared" si="9"/>
        <v>0</v>
      </c>
    </row>
    <row r="10" spans="1:18">
      <c r="A10" s="180">
        <f>A4</f>
        <v>0</v>
      </c>
      <c r="B10" s="181">
        <f t="shared" ref="B10:B11" si="10">ROUND(H10*N$7,0)</f>
        <v>0</v>
      </c>
      <c r="C10" s="181">
        <f t="shared" ref="C10:C11" si="11">ROUND(I10*O$7,0)</f>
        <v>0</v>
      </c>
      <c r="D10" s="181">
        <f t="shared" ref="D10:D11" si="12">ROUND(J10*P$7,0)</f>
        <v>0</v>
      </c>
      <c r="E10" s="181">
        <f t="shared" ref="E10:E11" si="13">ROUND(K10*Q$7,0)</f>
        <v>0</v>
      </c>
      <c r="F10" s="182">
        <f t="shared" ref="F10:F11" si="14">ROUND(L10*R$7,0)</f>
        <v>0</v>
      </c>
      <c r="H10" s="77">
        <v>0</v>
      </c>
      <c r="I10" s="78">
        <f t="shared" ref="I10:L11" si="15">H10</f>
        <v>0</v>
      </c>
      <c r="J10" s="78">
        <f t="shared" si="15"/>
        <v>0</v>
      </c>
      <c r="K10" s="78">
        <f t="shared" si="15"/>
        <v>0</v>
      </c>
      <c r="L10" s="78">
        <f t="shared" si="15"/>
        <v>0</v>
      </c>
    </row>
    <row r="11" spans="1:18">
      <c r="A11" s="180">
        <f>A5</f>
        <v>0</v>
      </c>
      <c r="B11" s="181">
        <f t="shared" si="10"/>
        <v>0</v>
      </c>
      <c r="C11" s="181">
        <f t="shared" si="11"/>
        <v>0</v>
      </c>
      <c r="D11" s="181">
        <f t="shared" si="12"/>
        <v>0</v>
      </c>
      <c r="E11" s="181">
        <f t="shared" si="13"/>
        <v>0</v>
      </c>
      <c r="F11" s="182">
        <f t="shared" si="14"/>
        <v>0</v>
      </c>
      <c r="H11" s="77">
        <v>0</v>
      </c>
      <c r="I11" s="78">
        <f t="shared" si="15"/>
        <v>0</v>
      </c>
      <c r="J11" s="78">
        <f t="shared" si="15"/>
        <v>0</v>
      </c>
      <c r="K11" s="78">
        <f t="shared" si="15"/>
        <v>0</v>
      </c>
      <c r="L11" s="78">
        <f t="shared" si="15"/>
        <v>0</v>
      </c>
    </row>
    <row r="12" spans="1:18">
      <c r="A12" s="180">
        <f>A6</f>
        <v>0</v>
      </c>
      <c r="B12" s="181">
        <f t="shared" ref="B12" si="16">ROUND(H12*N$7,0)</f>
        <v>0</v>
      </c>
      <c r="C12" s="181">
        <f t="shared" ref="C12" si="17">ROUND(I12*O$7,0)</f>
        <v>0</v>
      </c>
      <c r="D12" s="181">
        <f t="shared" ref="D12" si="18">ROUND(J12*P$7,0)</f>
        <v>0</v>
      </c>
      <c r="E12" s="181">
        <f t="shared" ref="E12" si="19">ROUND(K12*Q$7,0)</f>
        <v>0</v>
      </c>
      <c r="F12" s="182">
        <f t="shared" ref="F12" si="20">ROUND(L12*R$7,0)</f>
        <v>0</v>
      </c>
      <c r="H12" s="77">
        <v>0</v>
      </c>
      <c r="I12" s="78">
        <f t="shared" ref="I12:L12" si="21">H12</f>
        <v>0</v>
      </c>
      <c r="J12" s="78">
        <f t="shared" si="21"/>
        <v>0</v>
      </c>
      <c r="K12" s="78">
        <f t="shared" si="21"/>
        <v>0</v>
      </c>
      <c r="L12" s="78">
        <f t="shared" si="21"/>
        <v>0</v>
      </c>
    </row>
    <row r="13" spans="1:18">
      <c r="A13" s="188" t="s">
        <v>63</v>
      </c>
      <c r="B13" s="189">
        <f>SUM(B9:B12)</f>
        <v>0</v>
      </c>
      <c r="C13" s="189">
        <f>SUM(C9:C12)</f>
        <v>0</v>
      </c>
      <c r="D13" s="189">
        <f>SUM(D9:D12)</f>
        <v>0</v>
      </c>
      <c r="E13" s="189">
        <f>SUM(E9:E12)</f>
        <v>0</v>
      </c>
      <c r="F13" s="190">
        <f>SUM(F9:F12)</f>
        <v>0</v>
      </c>
    </row>
  </sheetData>
  <mergeCells count="2">
    <mergeCell ref="H1:L1"/>
    <mergeCell ref="H7:L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addSaleVB">
              <controlPr defaultSize="0" print="0" autoFill="0" autoPict="0" macro="[0]!AddSaleVB_Click">
                <anchor moveWithCells="1" sizeWithCells="1">
                  <from>
                    <xdr:col>6</xdr:col>
                    <xdr:colOff>38100</xdr:colOff>
                    <xdr:row>0</xdr:row>
                    <xdr:rowOff>9525</xdr:rowOff>
                  </from>
                  <to>
                    <xdr:col>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SaleVB">
              <controlPr defaultSize="0" print="0" autoFill="0" autoPict="0" macro="[0]!DeleteSaleVB_Click">
                <anchor moveWithCells="1" sizeWithCells="1">
                  <from>
                    <xdr:col>6</xdr:col>
                    <xdr:colOff>38100</xdr:colOff>
                    <xdr:row>2</xdr:row>
                    <xdr:rowOff>95250</xdr:rowOff>
                  </from>
                  <to>
                    <xdr:col>6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R39"/>
  <sheetViews>
    <sheetView zoomScale="150" zoomScaleNormal="150" workbookViewId="0">
      <selection activeCell="A3" sqref="A3"/>
    </sheetView>
  </sheetViews>
  <sheetFormatPr defaultRowHeight="12"/>
  <cols>
    <col min="1" max="1" width="42.85546875" style="7" customWidth="1"/>
    <col min="2" max="6" width="14.28515625" style="5" customWidth="1"/>
    <col min="7" max="7" width="9.140625" style="5"/>
    <col min="8" max="12" width="4.7109375" style="5" customWidth="1"/>
    <col min="13" max="17" width="10" style="5" customWidth="1"/>
    <col min="18" max="16384" width="9.140625" style="5"/>
  </cols>
  <sheetData>
    <row r="1" spans="1:18">
      <c r="A1" s="174" t="s">
        <v>59</v>
      </c>
      <c r="B1" s="174" t="s">
        <v>18</v>
      </c>
      <c r="C1" s="174" t="s">
        <v>19</v>
      </c>
      <c r="D1" s="174" t="s">
        <v>20</v>
      </c>
      <c r="E1" s="174" t="s">
        <v>21</v>
      </c>
      <c r="F1" s="175" t="s">
        <v>22</v>
      </c>
      <c r="H1" s="246" t="s">
        <v>121</v>
      </c>
      <c r="I1" s="246"/>
      <c r="J1" s="246"/>
      <c r="K1" s="246"/>
      <c r="L1" s="246"/>
    </row>
    <row r="2" spans="1:18">
      <c r="A2" s="176" t="s">
        <v>60</v>
      </c>
      <c r="B2" s="177"/>
      <c r="C2" s="178"/>
      <c r="D2" s="178"/>
      <c r="E2" s="178"/>
      <c r="F2" s="179"/>
      <c r="H2" s="35" t="s">
        <v>149</v>
      </c>
      <c r="I2" s="35" t="s">
        <v>150</v>
      </c>
      <c r="J2" s="35" t="s">
        <v>151</v>
      </c>
      <c r="K2" s="35" t="s">
        <v>152</v>
      </c>
      <c r="L2" s="35" t="s">
        <v>153</v>
      </c>
      <c r="M2" s="243" t="s">
        <v>122</v>
      </c>
      <c r="N2" s="243"/>
      <c r="O2" s="243"/>
      <c r="P2" s="243"/>
      <c r="Q2" s="243"/>
    </row>
    <row r="3" spans="1:18">
      <c r="A3" s="180"/>
      <c r="B3" s="191">
        <f t="shared" ref="B3:F8" si="0">ROUND(H3*M$17,0)</f>
        <v>0</v>
      </c>
      <c r="C3" s="191">
        <f t="shared" si="0"/>
        <v>0</v>
      </c>
      <c r="D3" s="191">
        <f t="shared" si="0"/>
        <v>0</v>
      </c>
      <c r="E3" s="191">
        <f t="shared" si="0"/>
        <v>0</v>
      </c>
      <c r="F3" s="192">
        <f t="shared" si="0"/>
        <v>0</v>
      </c>
      <c r="H3" s="32">
        <v>0</v>
      </c>
      <c r="I3" s="33">
        <f t="shared" ref="I3" si="1">H3</f>
        <v>0</v>
      </c>
      <c r="J3" s="33">
        <f t="shared" ref="J3" si="2">I3</f>
        <v>0</v>
      </c>
      <c r="K3" s="33">
        <f t="shared" ref="K3" si="3">J3</f>
        <v>0</v>
      </c>
      <c r="L3" s="33">
        <f t="shared" ref="L3" si="4">K3</f>
        <v>0</v>
      </c>
      <c r="M3" s="30">
        <f>(100%-'Profit and loss'!$G$22-'Profit and loss'!B$25)*B11-(100%-'Profit and loss'!$G$22)*B26</f>
        <v>0</v>
      </c>
      <c r="N3" s="30">
        <f>(100%-'Profit and loss'!$G$22-'Profit and loss'!C$25)*C11-(100%-'Profit and loss'!$G$22)*C26</f>
        <v>0</v>
      </c>
      <c r="O3" s="30">
        <f>(100%-'Profit and loss'!$G$22-'Profit and loss'!D$25)*D11-(100%-'Profit and loss'!$G$22)*D26</f>
        <v>0</v>
      </c>
      <c r="P3" s="30">
        <f>(100%-'Profit and loss'!$G$22-'Profit and loss'!E$25)*E11-(100%-'Profit and loss'!$G$22)*E26</f>
        <v>0</v>
      </c>
      <c r="Q3" s="30">
        <f>(100%-'Profit and loss'!$G$22-'Profit and loss'!F$25)*F11-(100%-'Profit and loss'!$G$22)*F26</f>
        <v>0</v>
      </c>
      <c r="R3" s="2"/>
    </row>
    <row r="4" spans="1:18">
      <c r="A4" s="180"/>
      <c r="B4" s="191">
        <f t="shared" si="0"/>
        <v>0</v>
      </c>
      <c r="C4" s="191">
        <f t="shared" si="0"/>
        <v>0</v>
      </c>
      <c r="D4" s="191">
        <f t="shared" si="0"/>
        <v>0</v>
      </c>
      <c r="E4" s="191">
        <f t="shared" si="0"/>
        <v>0</v>
      </c>
      <c r="F4" s="192">
        <f t="shared" si="0"/>
        <v>0</v>
      </c>
      <c r="H4" s="32">
        <v>0</v>
      </c>
      <c r="I4" s="33">
        <f t="shared" ref="I4:L4" si="5">H4</f>
        <v>0</v>
      </c>
      <c r="J4" s="33">
        <f t="shared" si="5"/>
        <v>0</v>
      </c>
      <c r="K4" s="33">
        <f t="shared" si="5"/>
        <v>0</v>
      </c>
      <c r="L4" s="33">
        <f t="shared" si="5"/>
        <v>0</v>
      </c>
      <c r="M4" s="30">
        <f>(100%-'Profit and loss'!$G$22-'Profit and loss'!B$25)*B12-(100%-'Profit and loss'!$G$22)*B27</f>
        <v>0</v>
      </c>
      <c r="N4" s="30">
        <f>(100%-'Profit and loss'!$G$22-'Profit and loss'!C$25)*C12-(100%-'Profit and loss'!$G$22)*C27</f>
        <v>0</v>
      </c>
      <c r="O4" s="30">
        <f>(100%-'Profit and loss'!$G$22-'Profit and loss'!D$25)*D12-(100%-'Profit and loss'!$G$22)*D27</f>
        <v>0</v>
      </c>
      <c r="P4" s="30">
        <f>(100%-'Profit and loss'!$G$22-'Profit and loss'!E$25)*E12-(100%-'Profit and loss'!$G$22)*E27</f>
        <v>0</v>
      </c>
      <c r="Q4" s="30">
        <f>(100%-'Profit and loss'!$G$22-'Profit and loss'!F$25)*F12-(100%-'Profit and loss'!$G$22)*F27</f>
        <v>0</v>
      </c>
      <c r="R4" s="2"/>
    </row>
    <row r="5" spans="1:18">
      <c r="A5" s="180"/>
      <c r="B5" s="191">
        <f t="shared" si="0"/>
        <v>0</v>
      </c>
      <c r="C5" s="191">
        <f t="shared" si="0"/>
        <v>0</v>
      </c>
      <c r="D5" s="191">
        <f t="shared" si="0"/>
        <v>0</v>
      </c>
      <c r="E5" s="191">
        <f t="shared" si="0"/>
        <v>0</v>
      </c>
      <c r="F5" s="192">
        <f t="shared" si="0"/>
        <v>0</v>
      </c>
      <c r="H5" s="32">
        <v>0</v>
      </c>
      <c r="I5" s="33">
        <f t="shared" ref="I5:L5" si="6">H5</f>
        <v>0</v>
      </c>
      <c r="J5" s="33">
        <f t="shared" si="6"/>
        <v>0</v>
      </c>
      <c r="K5" s="33">
        <f t="shared" si="6"/>
        <v>0</v>
      </c>
      <c r="L5" s="33">
        <f t="shared" si="6"/>
        <v>0</v>
      </c>
      <c r="M5" s="30">
        <f>(100%-'Profit and loss'!$G$22-'Profit and loss'!B$25)*B13-(100%-'Profit and loss'!$G$22)*B28</f>
        <v>0</v>
      </c>
      <c r="N5" s="30">
        <f>(100%-'Profit and loss'!$G$22-'Profit and loss'!C$25)*C13-(100%-'Profit and loss'!$G$22)*C28</f>
        <v>0</v>
      </c>
      <c r="O5" s="30">
        <f>(100%-'Profit and loss'!$G$22-'Profit and loss'!D$25)*D13-(100%-'Profit and loss'!$G$22)*D28</f>
        <v>0</v>
      </c>
      <c r="P5" s="30">
        <f>(100%-'Profit and loss'!$G$22-'Profit and loss'!E$25)*E13-(100%-'Profit and loss'!$G$22)*E28</f>
        <v>0</v>
      </c>
      <c r="Q5" s="30">
        <f>(100%-'Profit and loss'!$G$22-'Profit and loss'!F$25)*F13-(100%-'Profit and loss'!$G$22)*F28</f>
        <v>0</v>
      </c>
      <c r="R5" s="2"/>
    </row>
    <row r="6" spans="1:18">
      <c r="A6" s="180"/>
      <c r="B6" s="191">
        <f t="shared" si="0"/>
        <v>0</v>
      </c>
      <c r="C6" s="191">
        <f t="shared" si="0"/>
        <v>0</v>
      </c>
      <c r="D6" s="191">
        <f t="shared" si="0"/>
        <v>0</v>
      </c>
      <c r="E6" s="191">
        <f t="shared" si="0"/>
        <v>0</v>
      </c>
      <c r="F6" s="192">
        <f t="shared" si="0"/>
        <v>0</v>
      </c>
      <c r="H6" s="32">
        <v>0</v>
      </c>
      <c r="I6" s="33">
        <f t="shared" ref="I6:L6" si="7">H6</f>
        <v>0</v>
      </c>
      <c r="J6" s="33">
        <f t="shared" si="7"/>
        <v>0</v>
      </c>
      <c r="K6" s="33">
        <f t="shared" si="7"/>
        <v>0</v>
      </c>
      <c r="L6" s="33">
        <f t="shared" si="7"/>
        <v>0</v>
      </c>
      <c r="M6" s="30">
        <f>(100%-'Profit and loss'!$G$22-'Profit and loss'!B$25)*B14-(100%-'Profit and loss'!$G$22)*B29</f>
        <v>0</v>
      </c>
      <c r="N6" s="30">
        <f>(100%-'Profit and loss'!$G$22-'Profit and loss'!C$25)*C14-(100%-'Profit and loss'!$G$22)*C29</f>
        <v>0</v>
      </c>
      <c r="O6" s="30">
        <f>(100%-'Profit and loss'!$G$22-'Profit and loss'!D$25)*D14-(100%-'Profit and loss'!$G$22)*D29</f>
        <v>0</v>
      </c>
      <c r="P6" s="30">
        <f>(100%-'Profit and loss'!$G$22-'Profit and loss'!E$25)*E14-(100%-'Profit and loss'!$G$22)*E29</f>
        <v>0</v>
      </c>
      <c r="Q6" s="30">
        <f>(100%-'Profit and loss'!$G$22-'Profit and loss'!F$25)*F14-(100%-'Profit and loss'!$G$22)*F29</f>
        <v>0</v>
      </c>
      <c r="R6" s="2"/>
    </row>
    <row r="7" spans="1:18">
      <c r="A7" s="180"/>
      <c r="B7" s="191">
        <f t="shared" si="0"/>
        <v>0</v>
      </c>
      <c r="C7" s="191">
        <f t="shared" si="0"/>
        <v>0</v>
      </c>
      <c r="D7" s="191">
        <f t="shared" si="0"/>
        <v>0</v>
      </c>
      <c r="E7" s="191">
        <f t="shared" si="0"/>
        <v>0</v>
      </c>
      <c r="F7" s="192">
        <f t="shared" si="0"/>
        <v>0</v>
      </c>
      <c r="H7" s="32">
        <v>0</v>
      </c>
      <c r="I7" s="33">
        <f t="shared" ref="I7:L7" si="8">H7</f>
        <v>0</v>
      </c>
      <c r="J7" s="33">
        <f t="shared" si="8"/>
        <v>0</v>
      </c>
      <c r="K7" s="33">
        <f t="shared" si="8"/>
        <v>0</v>
      </c>
      <c r="L7" s="33">
        <f t="shared" si="8"/>
        <v>0</v>
      </c>
      <c r="M7" s="30">
        <f>(100%-'Profit and loss'!$G$22-'Profit and loss'!B$25)*B15-(100%-'Profit and loss'!$G$22)*B30</f>
        <v>0</v>
      </c>
      <c r="N7" s="30">
        <f>(100%-'Profit and loss'!$G$22-'Profit and loss'!C$25)*C15-(100%-'Profit and loss'!$G$22)*C30</f>
        <v>0</v>
      </c>
      <c r="O7" s="30">
        <f>(100%-'Profit and loss'!$G$22-'Profit and loss'!D$25)*D15-(100%-'Profit and loss'!$G$22)*D30</f>
        <v>0</v>
      </c>
      <c r="P7" s="30">
        <f>(100%-'Profit and loss'!$G$22-'Profit and loss'!E$25)*E15-(100%-'Profit and loss'!$G$22)*E30</f>
        <v>0</v>
      </c>
      <c r="Q7" s="30">
        <f>(100%-'Profit and loss'!$G$22-'Profit and loss'!F$25)*F15-(100%-'Profit and loss'!$G$22)*F30</f>
        <v>0</v>
      </c>
      <c r="R7" s="2"/>
    </row>
    <row r="8" spans="1:18">
      <c r="A8" s="180"/>
      <c r="B8" s="191">
        <f t="shared" si="0"/>
        <v>0</v>
      </c>
      <c r="C8" s="191">
        <f t="shared" si="0"/>
        <v>0</v>
      </c>
      <c r="D8" s="191">
        <f t="shared" si="0"/>
        <v>0</v>
      </c>
      <c r="E8" s="191">
        <f t="shared" si="0"/>
        <v>0</v>
      </c>
      <c r="F8" s="192">
        <f t="shared" si="0"/>
        <v>0</v>
      </c>
      <c r="H8" s="32">
        <v>0</v>
      </c>
      <c r="I8" s="33">
        <f t="shared" ref="I8" si="9">H8</f>
        <v>0</v>
      </c>
      <c r="J8" s="33">
        <f t="shared" ref="J8" si="10">I8</f>
        <v>0</v>
      </c>
      <c r="K8" s="33">
        <f t="shared" ref="K8" si="11">J8</f>
        <v>0</v>
      </c>
      <c r="L8" s="33">
        <f t="shared" ref="L8" si="12">K8</f>
        <v>0</v>
      </c>
      <c r="M8" s="30">
        <f>(100%-'Profit and loss'!$G$22-'Profit and loss'!B$25)*B16-(100%-'Profit and loss'!$G$22)*B31</f>
        <v>0</v>
      </c>
      <c r="N8" s="30">
        <f>(100%-'Profit and loss'!$G$22-'Profit and loss'!C$25)*C16-(100%-'Profit and loss'!$G$22)*C31</f>
        <v>0</v>
      </c>
      <c r="O8" s="30">
        <f>(100%-'Profit and loss'!$G$22-'Profit and loss'!D$25)*D16-(100%-'Profit and loss'!$G$22)*D31</f>
        <v>0</v>
      </c>
      <c r="P8" s="30">
        <f>(100%-'Profit and loss'!$G$22-'Profit and loss'!E$25)*E16-(100%-'Profit and loss'!$G$22)*E31</f>
        <v>0</v>
      </c>
      <c r="Q8" s="30">
        <f>(100%-'Profit and loss'!$G$22-'Profit and loss'!F$25)*F16-(100%-'Profit and loss'!$G$22)*F31</f>
        <v>0</v>
      </c>
      <c r="R8" s="2"/>
    </row>
    <row r="9" spans="1:18">
      <c r="A9" s="183" t="s">
        <v>61</v>
      </c>
      <c r="B9" s="191">
        <f>SUM(B3:B8)</f>
        <v>0</v>
      </c>
      <c r="C9" s="191">
        <f>SUM(C3:C8)</f>
        <v>0</v>
      </c>
      <c r="D9" s="191">
        <f>SUM(D3:D8)</f>
        <v>0</v>
      </c>
      <c r="E9" s="191">
        <f>SUM(E3:E8)</f>
        <v>0</v>
      </c>
      <c r="F9" s="192">
        <f>SUM(F3:F8)</f>
        <v>0</v>
      </c>
    </row>
    <row r="10" spans="1:18">
      <c r="A10" s="176" t="s">
        <v>58</v>
      </c>
      <c r="B10" s="193" t="s">
        <v>18</v>
      </c>
      <c r="C10" s="193" t="s">
        <v>19</v>
      </c>
      <c r="D10" s="193" t="s">
        <v>20</v>
      </c>
      <c r="E10" s="193" t="s">
        <v>21</v>
      </c>
      <c r="F10" s="194" t="s">
        <v>22</v>
      </c>
      <c r="M10" s="244" t="s">
        <v>123</v>
      </c>
      <c r="N10" s="244"/>
      <c r="O10" s="244"/>
      <c r="P10" s="244"/>
      <c r="Q10" s="244"/>
    </row>
    <row r="11" spans="1:18">
      <c r="A11" s="195">
        <f t="shared" ref="A11:A16" si="13">A3</f>
        <v>0</v>
      </c>
      <c r="B11" s="181"/>
      <c r="C11" s="181">
        <f>'Sales forecast'!$B11</f>
        <v>0</v>
      </c>
      <c r="D11" s="181">
        <f>'Sales forecast'!$C11</f>
        <v>0</v>
      </c>
      <c r="E11" s="181">
        <f>'Sales forecast'!$D11</f>
        <v>0</v>
      </c>
      <c r="F11" s="182">
        <f>'Sales forecast'!$E11</f>
        <v>0</v>
      </c>
      <c r="M11" s="30">
        <f t="shared" ref="M11:Q16" si="14">H3*M3</f>
        <v>0</v>
      </c>
      <c r="N11" s="30">
        <f t="shared" si="14"/>
        <v>0</v>
      </c>
      <c r="O11" s="30">
        <f t="shared" si="14"/>
        <v>0</v>
      </c>
      <c r="P11" s="30">
        <f t="shared" si="14"/>
        <v>0</v>
      </c>
      <c r="Q11" s="30">
        <f t="shared" si="14"/>
        <v>0</v>
      </c>
    </row>
    <row r="12" spans="1:18">
      <c r="A12" s="195">
        <f t="shared" si="13"/>
        <v>0</v>
      </c>
      <c r="B12" s="181"/>
      <c r="C12" s="181">
        <f>'Sales forecast'!$B12</f>
        <v>0</v>
      </c>
      <c r="D12" s="181">
        <f>'Sales forecast'!$C12</f>
        <v>0</v>
      </c>
      <c r="E12" s="181">
        <f>'Sales forecast'!$D12</f>
        <v>0</v>
      </c>
      <c r="F12" s="182">
        <f>'Sales forecast'!$E12</f>
        <v>0</v>
      </c>
      <c r="M12" s="30">
        <f t="shared" si="14"/>
        <v>0</v>
      </c>
      <c r="N12" s="30">
        <f t="shared" si="14"/>
        <v>0</v>
      </c>
      <c r="O12" s="30">
        <f t="shared" si="14"/>
        <v>0</v>
      </c>
      <c r="P12" s="30">
        <f t="shared" si="14"/>
        <v>0</v>
      </c>
      <c r="Q12" s="30">
        <f t="shared" si="14"/>
        <v>0</v>
      </c>
    </row>
    <row r="13" spans="1:18">
      <c r="A13" s="195">
        <f t="shared" si="13"/>
        <v>0</v>
      </c>
      <c r="B13" s="181"/>
      <c r="C13" s="181">
        <f>'Sales forecast'!$B13</f>
        <v>0</v>
      </c>
      <c r="D13" s="181">
        <f>'Sales forecast'!$C13</f>
        <v>0</v>
      </c>
      <c r="E13" s="181">
        <f>'Sales forecast'!$D13</f>
        <v>0</v>
      </c>
      <c r="F13" s="182">
        <f>'Sales forecast'!$E13</f>
        <v>0</v>
      </c>
      <c r="M13" s="30">
        <f t="shared" si="14"/>
        <v>0</v>
      </c>
      <c r="N13" s="30">
        <f t="shared" si="14"/>
        <v>0</v>
      </c>
      <c r="O13" s="30">
        <f t="shared" si="14"/>
        <v>0</v>
      </c>
      <c r="P13" s="30">
        <f t="shared" si="14"/>
        <v>0</v>
      </c>
      <c r="Q13" s="30">
        <f t="shared" si="14"/>
        <v>0</v>
      </c>
    </row>
    <row r="14" spans="1:18">
      <c r="A14" s="195">
        <f t="shared" si="13"/>
        <v>0</v>
      </c>
      <c r="B14" s="181"/>
      <c r="C14" s="181">
        <f>'Sales forecast'!$B14</f>
        <v>0</v>
      </c>
      <c r="D14" s="181">
        <f>'Sales forecast'!$C14</f>
        <v>0</v>
      </c>
      <c r="E14" s="181">
        <f>'Sales forecast'!$D14</f>
        <v>0</v>
      </c>
      <c r="F14" s="182">
        <f>'Sales forecast'!$E14</f>
        <v>0</v>
      </c>
      <c r="M14" s="30">
        <f t="shared" si="14"/>
        <v>0</v>
      </c>
      <c r="N14" s="30">
        <f t="shared" si="14"/>
        <v>0</v>
      </c>
      <c r="O14" s="30">
        <f t="shared" si="14"/>
        <v>0</v>
      </c>
      <c r="P14" s="30">
        <f t="shared" si="14"/>
        <v>0</v>
      </c>
      <c r="Q14" s="30">
        <f t="shared" si="14"/>
        <v>0</v>
      </c>
    </row>
    <row r="15" spans="1:18">
      <c r="A15" s="195">
        <f t="shared" si="13"/>
        <v>0</v>
      </c>
      <c r="B15" s="181"/>
      <c r="C15" s="181">
        <f>'Sales forecast'!$B15</f>
        <v>0</v>
      </c>
      <c r="D15" s="181">
        <f>'Sales forecast'!$C15</f>
        <v>0</v>
      </c>
      <c r="E15" s="181">
        <f>'Sales forecast'!$D15</f>
        <v>0</v>
      </c>
      <c r="F15" s="182">
        <f>'Sales forecast'!$E15</f>
        <v>0</v>
      </c>
      <c r="M15" s="30">
        <f t="shared" si="14"/>
        <v>0</v>
      </c>
      <c r="N15" s="30">
        <f t="shared" si="14"/>
        <v>0</v>
      </c>
      <c r="O15" s="30">
        <f t="shared" si="14"/>
        <v>0</v>
      </c>
      <c r="P15" s="30">
        <f t="shared" si="14"/>
        <v>0</v>
      </c>
      <c r="Q15" s="30">
        <f t="shared" si="14"/>
        <v>0</v>
      </c>
    </row>
    <row r="16" spans="1:18">
      <c r="A16" s="195">
        <f t="shared" si="13"/>
        <v>0</v>
      </c>
      <c r="B16" s="181"/>
      <c r="C16" s="181">
        <f>'Sales forecast'!$B16</f>
        <v>0</v>
      </c>
      <c r="D16" s="181">
        <f>'Sales forecast'!$C16</f>
        <v>0</v>
      </c>
      <c r="E16" s="181">
        <f>'Sales forecast'!$D16</f>
        <v>0</v>
      </c>
      <c r="F16" s="182">
        <f>'Sales forecast'!$E16</f>
        <v>0</v>
      </c>
      <c r="M16" s="30">
        <f t="shared" si="14"/>
        <v>0</v>
      </c>
      <c r="N16" s="30">
        <f t="shared" si="14"/>
        <v>0</v>
      </c>
      <c r="O16" s="30">
        <f t="shared" si="14"/>
        <v>0</v>
      </c>
      <c r="P16" s="30">
        <f t="shared" si="14"/>
        <v>0</v>
      </c>
      <c r="Q16" s="30">
        <f t="shared" si="14"/>
        <v>0</v>
      </c>
    </row>
    <row r="17" spans="1:17">
      <c r="A17" s="176" t="s">
        <v>30</v>
      </c>
      <c r="B17" s="196"/>
      <c r="C17" s="197"/>
      <c r="D17" s="197"/>
      <c r="E17" s="197"/>
      <c r="F17" s="198"/>
      <c r="H17" s="27"/>
      <c r="I17" s="27"/>
      <c r="J17" s="27"/>
      <c r="K17" s="27"/>
      <c r="L17" s="29" t="s">
        <v>76</v>
      </c>
      <c r="M17" s="31">
        <f>IF(SUM(M11:M16)=0,0,(100%-'Profit and loss'!$G$22)*'Profit and loss'!B$19/SUM(M11:M16))</f>
        <v>0</v>
      </c>
      <c r="N17" s="31">
        <f>IF(SUM(N11:N16)=0,0,(100%-'Profit and loss'!$G$22)*'Profit and loss'!C$19/SUM(N11:N16))</f>
        <v>0</v>
      </c>
      <c r="O17" s="31">
        <f>IF(SUM(O11:O16)=0,0,(100%-'Profit and loss'!$G$22)*'Profit and loss'!D$19/SUM(O11:O16))</f>
        <v>0</v>
      </c>
      <c r="P17" s="31">
        <f>IF(SUM(P11:P16)=0,0,(100%-'Profit and loss'!$G$22)*'Profit and loss'!E$19/SUM(P11:P16))</f>
        <v>0</v>
      </c>
      <c r="Q17" s="31">
        <f>IF(SUM(Q11:Q16)=0,0,(100%-'Profit and loss'!$G$22)*'Profit and loss'!F$19/SUM(Q11:Q16))</f>
        <v>0</v>
      </c>
    </row>
    <row r="18" spans="1:17">
      <c r="A18" s="180">
        <f t="shared" ref="A18:A23" si="15">A3</f>
        <v>0</v>
      </c>
      <c r="B18" s="181">
        <f t="shared" ref="B18:F23" si="16">B3*B11</f>
        <v>0</v>
      </c>
      <c r="C18" s="181">
        <f t="shared" si="16"/>
        <v>0</v>
      </c>
      <c r="D18" s="181">
        <f t="shared" si="16"/>
        <v>0</v>
      </c>
      <c r="E18" s="181">
        <f t="shared" si="16"/>
        <v>0</v>
      </c>
      <c r="F18" s="182">
        <f t="shared" si="16"/>
        <v>0</v>
      </c>
    </row>
    <row r="19" spans="1:17">
      <c r="A19" s="180">
        <f t="shared" si="15"/>
        <v>0</v>
      </c>
      <c r="B19" s="181">
        <f t="shared" si="16"/>
        <v>0</v>
      </c>
      <c r="C19" s="181">
        <f t="shared" si="16"/>
        <v>0</v>
      </c>
      <c r="D19" s="181">
        <f t="shared" si="16"/>
        <v>0</v>
      </c>
      <c r="E19" s="181">
        <f t="shared" si="16"/>
        <v>0</v>
      </c>
      <c r="F19" s="182">
        <f t="shared" si="16"/>
        <v>0</v>
      </c>
    </row>
    <row r="20" spans="1:17">
      <c r="A20" s="180">
        <f t="shared" si="15"/>
        <v>0</v>
      </c>
      <c r="B20" s="181">
        <f t="shared" si="16"/>
        <v>0</v>
      </c>
      <c r="C20" s="181">
        <f t="shared" si="16"/>
        <v>0</v>
      </c>
      <c r="D20" s="181">
        <f t="shared" si="16"/>
        <v>0</v>
      </c>
      <c r="E20" s="181">
        <f t="shared" si="16"/>
        <v>0</v>
      </c>
      <c r="F20" s="182">
        <f t="shared" si="16"/>
        <v>0</v>
      </c>
    </row>
    <row r="21" spans="1:17">
      <c r="A21" s="180">
        <f t="shared" si="15"/>
        <v>0</v>
      </c>
      <c r="B21" s="181">
        <f t="shared" si="16"/>
        <v>0</v>
      </c>
      <c r="C21" s="181">
        <f t="shared" si="16"/>
        <v>0</v>
      </c>
      <c r="D21" s="181">
        <f t="shared" si="16"/>
        <v>0</v>
      </c>
      <c r="E21" s="181">
        <f t="shared" si="16"/>
        <v>0</v>
      </c>
      <c r="F21" s="182">
        <f t="shared" si="16"/>
        <v>0</v>
      </c>
    </row>
    <row r="22" spans="1:17">
      <c r="A22" s="180">
        <f t="shared" si="15"/>
        <v>0</v>
      </c>
      <c r="B22" s="181">
        <f t="shared" si="16"/>
        <v>0</v>
      </c>
      <c r="C22" s="181">
        <f t="shared" si="16"/>
        <v>0</v>
      </c>
      <c r="D22" s="181">
        <f t="shared" si="16"/>
        <v>0</v>
      </c>
      <c r="E22" s="181">
        <f t="shared" si="16"/>
        <v>0</v>
      </c>
      <c r="F22" s="182">
        <f t="shared" si="16"/>
        <v>0</v>
      </c>
    </row>
    <row r="23" spans="1:17">
      <c r="A23" s="180">
        <f t="shared" si="15"/>
        <v>0</v>
      </c>
      <c r="B23" s="181">
        <f t="shared" si="16"/>
        <v>0</v>
      </c>
      <c r="C23" s="181">
        <f t="shared" si="16"/>
        <v>0</v>
      </c>
      <c r="D23" s="181">
        <f t="shared" si="16"/>
        <v>0</v>
      </c>
      <c r="E23" s="181">
        <f t="shared" si="16"/>
        <v>0</v>
      </c>
      <c r="F23" s="182">
        <f t="shared" si="16"/>
        <v>0</v>
      </c>
    </row>
    <row r="24" spans="1:17">
      <c r="A24" s="183" t="s">
        <v>62</v>
      </c>
      <c r="B24" s="181">
        <f>SUM(B18:B23)</f>
        <v>0</v>
      </c>
      <c r="C24" s="181">
        <f>SUM(C18:C23)</f>
        <v>0</v>
      </c>
      <c r="D24" s="181">
        <f>SUM(D18:D23)</f>
        <v>0</v>
      </c>
      <c r="E24" s="181">
        <f>SUM(E18:E23)</f>
        <v>0</v>
      </c>
      <c r="F24" s="182">
        <f>SUM(F18:F23)</f>
        <v>0</v>
      </c>
    </row>
    <row r="25" spans="1:17">
      <c r="A25" s="176" t="s">
        <v>57</v>
      </c>
      <c r="B25" s="80" t="s">
        <v>18</v>
      </c>
      <c r="C25" s="80" t="s">
        <v>19</v>
      </c>
      <c r="D25" s="80" t="s">
        <v>20</v>
      </c>
      <c r="E25" s="80" t="s">
        <v>21</v>
      </c>
      <c r="F25" s="79" t="s">
        <v>22</v>
      </c>
      <c r="M25" s="245" t="s">
        <v>130</v>
      </c>
      <c r="N25" s="245"/>
      <c r="O25" s="245"/>
      <c r="P25" s="245"/>
      <c r="Q25" s="245"/>
    </row>
    <row r="26" spans="1:17">
      <c r="A26" s="195">
        <f t="shared" ref="A26:A31" si="17">A3</f>
        <v>0</v>
      </c>
      <c r="B26" s="181"/>
      <c r="C26" s="181">
        <f>'Sales forecast'!$B26</f>
        <v>0</v>
      </c>
      <c r="D26" s="181">
        <f>'Sales forecast'!$C26</f>
        <v>0</v>
      </c>
      <c r="E26" s="181">
        <f>'Sales forecast'!$D26</f>
        <v>0</v>
      </c>
      <c r="F26" s="182">
        <f>'Sales forecast'!$E26</f>
        <v>0</v>
      </c>
      <c r="H26" s="6"/>
      <c r="I26" s="6"/>
      <c r="J26" s="6"/>
      <c r="K26" s="6"/>
      <c r="L26" s="6"/>
      <c r="M26" s="40">
        <f t="shared" ref="M26:Q31" si="18">H3*(B11-B26)</f>
        <v>0</v>
      </c>
      <c r="N26" s="40">
        <f t="shared" si="18"/>
        <v>0</v>
      </c>
      <c r="O26" s="40">
        <f t="shared" si="18"/>
        <v>0</v>
      </c>
      <c r="P26" s="40">
        <f t="shared" si="18"/>
        <v>0</v>
      </c>
      <c r="Q26" s="40">
        <f t="shared" si="18"/>
        <v>0</v>
      </c>
    </row>
    <row r="27" spans="1:17">
      <c r="A27" s="195">
        <f t="shared" si="17"/>
        <v>0</v>
      </c>
      <c r="B27" s="181"/>
      <c r="C27" s="181">
        <f>'Sales forecast'!$B27</f>
        <v>0</v>
      </c>
      <c r="D27" s="181">
        <f>'Sales forecast'!$C27</f>
        <v>0</v>
      </c>
      <c r="E27" s="181">
        <f>'Sales forecast'!$D27</f>
        <v>0</v>
      </c>
      <c r="F27" s="182">
        <f>'Sales forecast'!$E27</f>
        <v>0</v>
      </c>
      <c r="H27" s="6"/>
      <c r="I27" s="6"/>
      <c r="J27" s="6"/>
      <c r="K27" s="6"/>
      <c r="L27" s="6"/>
      <c r="M27" s="40">
        <f t="shared" si="18"/>
        <v>0</v>
      </c>
      <c r="N27" s="40">
        <f t="shared" si="18"/>
        <v>0</v>
      </c>
      <c r="O27" s="40">
        <f t="shared" si="18"/>
        <v>0</v>
      </c>
      <c r="P27" s="40">
        <f t="shared" si="18"/>
        <v>0</v>
      </c>
      <c r="Q27" s="40">
        <f t="shared" si="18"/>
        <v>0</v>
      </c>
    </row>
    <row r="28" spans="1:17">
      <c r="A28" s="195">
        <f t="shared" si="17"/>
        <v>0</v>
      </c>
      <c r="B28" s="181"/>
      <c r="C28" s="181">
        <f>'Sales forecast'!$B28</f>
        <v>0</v>
      </c>
      <c r="D28" s="181">
        <f>'Sales forecast'!$C28</f>
        <v>0</v>
      </c>
      <c r="E28" s="181">
        <f>'Sales forecast'!$D28</f>
        <v>0</v>
      </c>
      <c r="F28" s="182">
        <f>'Sales forecast'!$E28</f>
        <v>0</v>
      </c>
      <c r="H28" s="6"/>
      <c r="I28" s="6"/>
      <c r="J28" s="6"/>
      <c r="K28" s="6"/>
      <c r="L28" s="6"/>
      <c r="M28" s="40">
        <f t="shared" si="18"/>
        <v>0</v>
      </c>
      <c r="N28" s="40">
        <f t="shared" si="18"/>
        <v>0</v>
      </c>
      <c r="O28" s="40">
        <f t="shared" si="18"/>
        <v>0</v>
      </c>
      <c r="P28" s="40">
        <f t="shared" si="18"/>
        <v>0</v>
      </c>
      <c r="Q28" s="40">
        <f t="shared" si="18"/>
        <v>0</v>
      </c>
    </row>
    <row r="29" spans="1:17">
      <c r="A29" s="195">
        <f t="shared" si="17"/>
        <v>0</v>
      </c>
      <c r="B29" s="181"/>
      <c r="C29" s="181">
        <f>'Sales forecast'!$B29</f>
        <v>0</v>
      </c>
      <c r="D29" s="181">
        <f>'Sales forecast'!$C29</f>
        <v>0</v>
      </c>
      <c r="E29" s="181">
        <f>'Sales forecast'!$D29</f>
        <v>0</v>
      </c>
      <c r="F29" s="182">
        <f>'Sales forecast'!$E29</f>
        <v>0</v>
      </c>
      <c r="H29" s="6"/>
      <c r="I29" s="6"/>
      <c r="J29" s="6"/>
      <c r="K29" s="6"/>
      <c r="L29" s="6"/>
      <c r="M29" s="40">
        <f t="shared" si="18"/>
        <v>0</v>
      </c>
      <c r="N29" s="40">
        <f t="shared" si="18"/>
        <v>0</v>
      </c>
      <c r="O29" s="40">
        <f t="shared" si="18"/>
        <v>0</v>
      </c>
      <c r="P29" s="40">
        <f t="shared" si="18"/>
        <v>0</v>
      </c>
      <c r="Q29" s="40">
        <f t="shared" si="18"/>
        <v>0</v>
      </c>
    </row>
    <row r="30" spans="1:17">
      <c r="A30" s="195">
        <f t="shared" si="17"/>
        <v>0</v>
      </c>
      <c r="B30" s="181"/>
      <c r="C30" s="181">
        <f>'Sales forecast'!$B30</f>
        <v>0</v>
      </c>
      <c r="D30" s="181">
        <f>'Sales forecast'!$C30</f>
        <v>0</v>
      </c>
      <c r="E30" s="181">
        <f>'Sales forecast'!$D30</f>
        <v>0</v>
      </c>
      <c r="F30" s="182">
        <f>'Sales forecast'!$E30</f>
        <v>0</v>
      </c>
      <c r="H30" s="6"/>
      <c r="I30" s="6"/>
      <c r="J30" s="6"/>
      <c r="K30" s="6"/>
      <c r="L30" s="6"/>
      <c r="M30" s="40">
        <f t="shared" si="18"/>
        <v>0</v>
      </c>
      <c r="N30" s="40">
        <f t="shared" si="18"/>
        <v>0</v>
      </c>
      <c r="O30" s="40">
        <f t="shared" si="18"/>
        <v>0</v>
      </c>
      <c r="P30" s="40">
        <f t="shared" si="18"/>
        <v>0</v>
      </c>
      <c r="Q30" s="40">
        <f t="shared" si="18"/>
        <v>0</v>
      </c>
    </row>
    <row r="31" spans="1:17">
      <c r="A31" s="195">
        <f t="shared" si="17"/>
        <v>0</v>
      </c>
      <c r="B31" s="181"/>
      <c r="C31" s="181">
        <f>'Sales forecast'!$B31</f>
        <v>0</v>
      </c>
      <c r="D31" s="181">
        <f>'Sales forecast'!$C31</f>
        <v>0</v>
      </c>
      <c r="E31" s="181">
        <f>'Sales forecast'!$D31</f>
        <v>0</v>
      </c>
      <c r="F31" s="182">
        <f>'Sales forecast'!$E31</f>
        <v>0</v>
      </c>
      <c r="H31" s="6"/>
      <c r="I31" s="6"/>
      <c r="J31" s="6"/>
      <c r="K31" s="6"/>
      <c r="L31" s="6"/>
      <c r="M31" s="40">
        <f t="shared" si="18"/>
        <v>0</v>
      </c>
      <c r="N31" s="40">
        <f t="shared" si="18"/>
        <v>0</v>
      </c>
      <c r="O31" s="40">
        <f t="shared" si="18"/>
        <v>0</v>
      </c>
      <c r="P31" s="40">
        <f t="shared" si="18"/>
        <v>0</v>
      </c>
      <c r="Q31" s="40">
        <f t="shared" si="18"/>
        <v>0</v>
      </c>
    </row>
    <row r="32" spans="1:17">
      <c r="A32" s="184" t="s">
        <v>31</v>
      </c>
      <c r="B32" s="185"/>
      <c r="C32" s="186"/>
      <c r="D32" s="186"/>
      <c r="E32" s="186"/>
      <c r="F32" s="187"/>
      <c r="H32" s="28"/>
      <c r="I32" s="28"/>
      <c r="J32" s="28"/>
      <c r="K32" s="28"/>
      <c r="L32" s="16" t="s">
        <v>129</v>
      </c>
      <c r="M32" s="41">
        <f>SUM(M26:M31)</f>
        <v>0</v>
      </c>
      <c r="N32" s="41">
        <f>SUM(N26:N31)</f>
        <v>0</v>
      </c>
      <c r="O32" s="41">
        <f>SUM(O26:O31)</f>
        <v>0</v>
      </c>
      <c r="P32" s="41">
        <f>SUM(P26:P31)</f>
        <v>0</v>
      </c>
      <c r="Q32" s="41">
        <f>SUM(Q26:Q31)</f>
        <v>0</v>
      </c>
    </row>
    <row r="33" spans="1:17">
      <c r="A33" s="195">
        <f t="shared" ref="A33:A38" si="19">A3</f>
        <v>0</v>
      </c>
      <c r="B33" s="181">
        <f t="shared" ref="B33:F38" si="20">B3*B26</f>
        <v>0</v>
      </c>
      <c r="C33" s="181">
        <f t="shared" si="20"/>
        <v>0</v>
      </c>
      <c r="D33" s="181">
        <f t="shared" si="20"/>
        <v>0</v>
      </c>
      <c r="E33" s="181">
        <f t="shared" si="20"/>
        <v>0</v>
      </c>
      <c r="F33" s="182">
        <f t="shared" si="20"/>
        <v>0</v>
      </c>
      <c r="M33" s="40">
        <f t="shared" ref="M33:Q38" si="21">H3*B11</f>
        <v>0</v>
      </c>
      <c r="N33" s="40">
        <f t="shared" si="21"/>
        <v>0</v>
      </c>
      <c r="O33" s="40">
        <f t="shared" si="21"/>
        <v>0</v>
      </c>
      <c r="P33" s="40">
        <f t="shared" si="21"/>
        <v>0</v>
      </c>
      <c r="Q33" s="40">
        <f t="shared" si="21"/>
        <v>0</v>
      </c>
    </row>
    <row r="34" spans="1:17">
      <c r="A34" s="195">
        <f t="shared" si="19"/>
        <v>0</v>
      </c>
      <c r="B34" s="181">
        <f t="shared" si="20"/>
        <v>0</v>
      </c>
      <c r="C34" s="181">
        <f t="shared" si="20"/>
        <v>0</v>
      </c>
      <c r="D34" s="181">
        <f t="shared" si="20"/>
        <v>0</v>
      </c>
      <c r="E34" s="181">
        <f t="shared" si="20"/>
        <v>0</v>
      </c>
      <c r="F34" s="182">
        <f t="shared" si="20"/>
        <v>0</v>
      </c>
      <c r="M34" s="40">
        <f t="shared" si="21"/>
        <v>0</v>
      </c>
      <c r="N34" s="40">
        <f t="shared" si="21"/>
        <v>0</v>
      </c>
      <c r="O34" s="40">
        <f t="shared" si="21"/>
        <v>0</v>
      </c>
      <c r="P34" s="40">
        <f t="shared" si="21"/>
        <v>0</v>
      </c>
      <c r="Q34" s="40">
        <f t="shared" si="21"/>
        <v>0</v>
      </c>
    </row>
    <row r="35" spans="1:17">
      <c r="A35" s="195">
        <f t="shared" si="19"/>
        <v>0</v>
      </c>
      <c r="B35" s="181">
        <f t="shared" si="20"/>
        <v>0</v>
      </c>
      <c r="C35" s="181">
        <f t="shared" si="20"/>
        <v>0</v>
      </c>
      <c r="D35" s="181">
        <f t="shared" si="20"/>
        <v>0</v>
      </c>
      <c r="E35" s="181">
        <f t="shared" si="20"/>
        <v>0</v>
      </c>
      <c r="F35" s="182">
        <f t="shared" si="20"/>
        <v>0</v>
      </c>
      <c r="M35" s="40">
        <f t="shared" si="21"/>
        <v>0</v>
      </c>
      <c r="N35" s="40">
        <f t="shared" si="21"/>
        <v>0</v>
      </c>
      <c r="O35" s="40">
        <f t="shared" si="21"/>
        <v>0</v>
      </c>
      <c r="P35" s="40">
        <f t="shared" si="21"/>
        <v>0</v>
      </c>
      <c r="Q35" s="40">
        <f t="shared" si="21"/>
        <v>0</v>
      </c>
    </row>
    <row r="36" spans="1:17">
      <c r="A36" s="195">
        <f t="shared" si="19"/>
        <v>0</v>
      </c>
      <c r="B36" s="181">
        <f t="shared" si="20"/>
        <v>0</v>
      </c>
      <c r="C36" s="181">
        <f t="shared" si="20"/>
        <v>0</v>
      </c>
      <c r="D36" s="181">
        <f t="shared" si="20"/>
        <v>0</v>
      </c>
      <c r="E36" s="181">
        <f t="shared" si="20"/>
        <v>0</v>
      </c>
      <c r="F36" s="182">
        <f t="shared" si="20"/>
        <v>0</v>
      </c>
      <c r="M36" s="40">
        <f t="shared" si="21"/>
        <v>0</v>
      </c>
      <c r="N36" s="40">
        <f t="shared" si="21"/>
        <v>0</v>
      </c>
      <c r="O36" s="40">
        <f t="shared" si="21"/>
        <v>0</v>
      </c>
      <c r="P36" s="40">
        <f t="shared" si="21"/>
        <v>0</v>
      </c>
      <c r="Q36" s="40">
        <f t="shared" si="21"/>
        <v>0</v>
      </c>
    </row>
    <row r="37" spans="1:17">
      <c r="A37" s="195">
        <f t="shared" si="19"/>
        <v>0</v>
      </c>
      <c r="B37" s="181">
        <f t="shared" si="20"/>
        <v>0</v>
      </c>
      <c r="C37" s="181">
        <f t="shared" si="20"/>
        <v>0</v>
      </c>
      <c r="D37" s="181">
        <f t="shared" si="20"/>
        <v>0</v>
      </c>
      <c r="E37" s="181">
        <f t="shared" si="20"/>
        <v>0</v>
      </c>
      <c r="F37" s="182">
        <f t="shared" si="20"/>
        <v>0</v>
      </c>
      <c r="M37" s="40">
        <f t="shared" si="21"/>
        <v>0</v>
      </c>
      <c r="N37" s="40">
        <f t="shared" si="21"/>
        <v>0</v>
      </c>
      <c r="O37" s="40">
        <f t="shared" si="21"/>
        <v>0</v>
      </c>
      <c r="P37" s="40">
        <f t="shared" si="21"/>
        <v>0</v>
      </c>
      <c r="Q37" s="40">
        <f t="shared" si="21"/>
        <v>0</v>
      </c>
    </row>
    <row r="38" spans="1:17">
      <c r="A38" s="195">
        <f t="shared" si="19"/>
        <v>0</v>
      </c>
      <c r="B38" s="181">
        <f t="shared" si="20"/>
        <v>0</v>
      </c>
      <c r="C38" s="181">
        <f t="shared" si="20"/>
        <v>0</v>
      </c>
      <c r="D38" s="181">
        <f t="shared" si="20"/>
        <v>0</v>
      </c>
      <c r="E38" s="181">
        <f t="shared" si="20"/>
        <v>0</v>
      </c>
      <c r="F38" s="182">
        <f t="shared" si="20"/>
        <v>0</v>
      </c>
      <c r="M38" s="40">
        <f t="shared" si="21"/>
        <v>0</v>
      </c>
      <c r="N38" s="40">
        <f t="shared" si="21"/>
        <v>0</v>
      </c>
      <c r="O38" s="40">
        <f t="shared" si="21"/>
        <v>0</v>
      </c>
      <c r="P38" s="40">
        <f t="shared" si="21"/>
        <v>0</v>
      </c>
      <c r="Q38" s="40">
        <f t="shared" si="21"/>
        <v>0</v>
      </c>
    </row>
    <row r="39" spans="1:17">
      <c r="A39" s="188" t="s">
        <v>63</v>
      </c>
      <c r="B39" s="189">
        <f>SUM(B33:B38)</f>
        <v>0</v>
      </c>
      <c r="C39" s="189">
        <f>SUM(C33:C38)</f>
        <v>0</v>
      </c>
      <c r="D39" s="189">
        <f>SUM(D33:D38)</f>
        <v>0</v>
      </c>
      <c r="E39" s="189">
        <f>SUM(E33:E38)</f>
        <v>0</v>
      </c>
      <c r="F39" s="190">
        <f>SUM(F33:F38)</f>
        <v>0</v>
      </c>
      <c r="I39" s="28"/>
      <c r="J39" s="28"/>
      <c r="K39" s="28"/>
      <c r="L39" s="16" t="s">
        <v>129</v>
      </c>
      <c r="M39" s="41">
        <f>SUM(M33:M38)</f>
        <v>0</v>
      </c>
      <c r="N39" s="41">
        <f>SUM(N33:N38)</f>
        <v>0</v>
      </c>
      <c r="O39" s="41">
        <f>SUM(O33:O38)</f>
        <v>0</v>
      </c>
      <c r="P39" s="41">
        <f>SUM(P33:P38)</f>
        <v>0</v>
      </c>
      <c r="Q39" s="41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N28"/>
  <sheetViews>
    <sheetView zoomScale="150" zoomScaleNormal="150" workbookViewId="0">
      <selection activeCell="B9" sqref="B9"/>
    </sheetView>
  </sheetViews>
  <sheetFormatPr defaultRowHeight="12"/>
  <cols>
    <col min="1" max="1" width="26.140625" style="8" bestFit="1" customWidth="1"/>
    <col min="2" max="6" width="14.28515625" style="8" customWidth="1"/>
    <col min="7" max="7" width="9.140625" style="8"/>
    <col min="8" max="8" width="12" style="8" bestFit="1" customWidth="1"/>
    <col min="9" max="16384" width="9.140625" style="8"/>
  </cols>
  <sheetData>
    <row r="1" spans="1:14">
      <c r="A1" s="95" t="s">
        <v>29</v>
      </c>
      <c r="B1" s="95" t="s">
        <v>18</v>
      </c>
      <c r="C1" s="95" t="s">
        <v>19</v>
      </c>
      <c r="D1" s="95" t="s">
        <v>20</v>
      </c>
      <c r="E1" s="95" t="s">
        <v>21</v>
      </c>
      <c r="F1" s="96" t="s">
        <v>22</v>
      </c>
    </row>
    <row r="2" spans="1:14">
      <c r="A2" s="97" t="s">
        <v>30</v>
      </c>
      <c r="B2" s="98">
        <f>IF('Sales forecast'!B24=0,'Sales forecast-vb'!B7,'Sales forecast'!B24)</f>
        <v>0</v>
      </c>
      <c r="C2" s="98">
        <f>IF('Sales forecast'!C24=0,'Sales forecast-vb'!C7,'Sales forecast'!C24)</f>
        <v>0</v>
      </c>
      <c r="D2" s="98">
        <f>IF('Sales forecast'!D24=0,'Sales forecast-vb'!D7,'Sales forecast'!D24)</f>
        <v>0</v>
      </c>
      <c r="E2" s="98">
        <f>IF('Sales forecast'!E24=0,'Sales forecast-vb'!E7,'Sales forecast'!E24)</f>
        <v>0</v>
      </c>
      <c r="F2" s="99">
        <f>IF('Sales forecast'!F24=0,'Sales forecast-vb'!F7,'Sales forecast'!F24)</f>
        <v>0</v>
      </c>
    </row>
    <row r="3" spans="1:14">
      <c r="A3" s="100" t="s">
        <v>31</v>
      </c>
      <c r="B3" s="101">
        <f>IF('Sales forecast'!B39=0,'Sales forecast-vb'!B13,'Sales forecast'!B39)</f>
        <v>0</v>
      </c>
      <c r="C3" s="101">
        <f>IF('Sales forecast'!C39=0,'Sales forecast-vb'!C13,'Sales forecast'!C39)</f>
        <v>0</v>
      </c>
      <c r="D3" s="101">
        <f>IF('Sales forecast'!D39=0,'Sales forecast-vb'!D13,'Sales forecast'!D39)</f>
        <v>0</v>
      </c>
      <c r="E3" s="101">
        <f>IF('Sales forecast'!E39=0,'Sales forecast-vb'!E13,'Sales forecast'!E39)</f>
        <v>0</v>
      </c>
      <c r="F3" s="102">
        <f>IF('Sales forecast'!F39=0,'Sales forecast-vb'!F13,'Sales forecast'!F39)</f>
        <v>0</v>
      </c>
      <c r="N3" s="17"/>
    </row>
    <row r="4" spans="1:14">
      <c r="A4" s="103" t="s">
        <v>32</v>
      </c>
      <c r="B4" s="101">
        <f>SUM(B3:B3)</f>
        <v>0</v>
      </c>
      <c r="C4" s="101">
        <f>SUM(C3:C3)</f>
        <v>0</v>
      </c>
      <c r="D4" s="101">
        <f>SUM(D3:D3)</f>
        <v>0</v>
      </c>
      <c r="E4" s="101">
        <f>SUM(E3:E3)</f>
        <v>0</v>
      </c>
      <c r="F4" s="102">
        <f>SUM(F3:F3)</f>
        <v>0</v>
      </c>
    </row>
    <row r="5" spans="1:14">
      <c r="A5" s="100" t="s">
        <v>33</v>
      </c>
      <c r="B5" s="101">
        <f>B2-B4</f>
        <v>0</v>
      </c>
      <c r="C5" s="101">
        <f>C2-C4</f>
        <v>0</v>
      </c>
      <c r="D5" s="101">
        <f>D2-D4</f>
        <v>0</v>
      </c>
      <c r="E5" s="101">
        <f>E2-E4</f>
        <v>0</v>
      </c>
      <c r="F5" s="102">
        <f>F2-F4</f>
        <v>0</v>
      </c>
    </row>
    <row r="6" spans="1:14">
      <c r="A6" s="100" t="s">
        <v>34</v>
      </c>
      <c r="B6" s="104">
        <f>IF(B2=0,0,B5/B2)</f>
        <v>0</v>
      </c>
      <c r="C6" s="104">
        <f>IF(C2=0,0,C5/C2)</f>
        <v>0</v>
      </c>
      <c r="D6" s="104">
        <f>IF(D2=0,0,D5/D2)</f>
        <v>0</v>
      </c>
      <c r="E6" s="104">
        <f>IF(E2=0,0,E5/E2)</f>
        <v>0</v>
      </c>
      <c r="F6" s="105">
        <f>IF(F2=0,0,F5/F2)</f>
        <v>0</v>
      </c>
    </row>
    <row r="7" spans="1:14">
      <c r="A7" s="97" t="s">
        <v>25</v>
      </c>
      <c r="B7" s="106"/>
      <c r="C7" s="107"/>
      <c r="D7" s="107"/>
      <c r="E7" s="107"/>
      <c r="F7" s="108"/>
      <c r="G7" s="218" t="s">
        <v>74</v>
      </c>
    </row>
    <row r="8" spans="1:14">
      <c r="A8" s="100" t="s">
        <v>35</v>
      </c>
      <c r="B8" s="109">
        <f>Personnel!B26</f>
        <v>0</v>
      </c>
      <c r="C8" s="109">
        <f>Personnel!C26</f>
        <v>0</v>
      </c>
      <c r="D8" s="109">
        <f>Personnel!D26</f>
        <v>0</v>
      </c>
      <c r="E8" s="109">
        <f>Personnel!E26</f>
        <v>0</v>
      </c>
      <c r="F8" s="110">
        <f>Personnel!F26</f>
        <v>0</v>
      </c>
    </row>
    <row r="9" spans="1:14">
      <c r="A9" s="100" t="s">
        <v>65</v>
      </c>
      <c r="B9" s="109"/>
      <c r="C9" s="109">
        <f>'Profit and loss'!$B9*(100%+$G$9)</f>
        <v>0</v>
      </c>
      <c r="D9" s="109">
        <f>'Profit and loss'!$C9*(100%+$G$9)</f>
        <v>0</v>
      </c>
      <c r="E9" s="109">
        <f>'Profit and loss'!$D9*(100%+$G$9)</f>
        <v>0</v>
      </c>
      <c r="F9" s="110">
        <f>'Profit and loss'!$E9*(100%+$G$9)</f>
        <v>0</v>
      </c>
      <c r="G9" s="18">
        <v>0.05</v>
      </c>
    </row>
    <row r="10" spans="1:14">
      <c r="A10" s="100" t="s">
        <v>28</v>
      </c>
      <c r="B10" s="109">
        <f>'Start-up'!B16*G10</f>
        <v>0</v>
      </c>
      <c r="C10" s="109">
        <f>'Profit and loss'!$B10</f>
        <v>0</v>
      </c>
      <c r="D10" s="109">
        <f>'Profit and loss'!$C10</f>
        <v>0</v>
      </c>
      <c r="E10" s="109">
        <f>'Profit and loss'!$D10</f>
        <v>0</v>
      </c>
      <c r="F10" s="110">
        <f>'Profit and loss'!$E10</f>
        <v>0</v>
      </c>
      <c r="G10" s="18">
        <v>0.1</v>
      </c>
    </row>
    <row r="11" spans="1:14">
      <c r="A11" s="100" t="s">
        <v>16</v>
      </c>
      <c r="B11" s="109"/>
      <c r="C11" s="109">
        <f>B11*(100%+$G11)</f>
        <v>0</v>
      </c>
      <c r="D11" s="109">
        <f t="shared" ref="D11:F11" si="0">C11*(100%+$G11)</f>
        <v>0</v>
      </c>
      <c r="E11" s="109">
        <f t="shared" si="0"/>
        <v>0</v>
      </c>
      <c r="F11" s="110">
        <f t="shared" si="0"/>
        <v>0</v>
      </c>
      <c r="G11" s="18">
        <v>0</v>
      </c>
    </row>
    <row r="12" spans="1:14">
      <c r="A12" s="100" t="s">
        <v>125</v>
      </c>
      <c r="B12" s="109"/>
      <c r="C12" s="109">
        <f t="shared" ref="C12:F15" si="1">B12*(100%+$G12)</f>
        <v>0</v>
      </c>
      <c r="D12" s="109">
        <f t="shared" si="1"/>
        <v>0</v>
      </c>
      <c r="E12" s="109">
        <f t="shared" si="1"/>
        <v>0</v>
      </c>
      <c r="F12" s="110">
        <f t="shared" si="1"/>
        <v>0</v>
      </c>
      <c r="G12" s="18">
        <v>0.05</v>
      </c>
    </row>
    <row r="13" spans="1:14">
      <c r="A13" s="100" t="s">
        <v>124</v>
      </c>
      <c r="B13" s="109"/>
      <c r="C13" s="109">
        <f t="shared" si="1"/>
        <v>0</v>
      </c>
      <c r="D13" s="109">
        <f t="shared" si="1"/>
        <v>0</v>
      </c>
      <c r="E13" s="109">
        <f t="shared" si="1"/>
        <v>0</v>
      </c>
      <c r="F13" s="110">
        <f t="shared" si="1"/>
        <v>0</v>
      </c>
      <c r="G13" s="18">
        <v>0.05</v>
      </c>
    </row>
    <row r="14" spans="1:14">
      <c r="A14" s="100" t="s">
        <v>126</v>
      </c>
      <c r="B14" s="109"/>
      <c r="C14" s="109">
        <f t="shared" si="1"/>
        <v>0</v>
      </c>
      <c r="D14" s="109">
        <f t="shared" si="1"/>
        <v>0</v>
      </c>
      <c r="E14" s="109">
        <f t="shared" si="1"/>
        <v>0</v>
      </c>
      <c r="F14" s="110">
        <f t="shared" si="1"/>
        <v>0</v>
      </c>
      <c r="G14" s="18">
        <v>0.05</v>
      </c>
    </row>
    <row r="15" spans="1:14">
      <c r="A15" s="100" t="s">
        <v>24</v>
      </c>
      <c r="B15" s="109"/>
      <c r="C15" s="109">
        <f t="shared" si="1"/>
        <v>0</v>
      </c>
      <c r="D15" s="109">
        <f t="shared" si="1"/>
        <v>0</v>
      </c>
      <c r="E15" s="109">
        <f t="shared" si="1"/>
        <v>0</v>
      </c>
      <c r="F15" s="110">
        <f t="shared" si="1"/>
        <v>0</v>
      </c>
      <c r="G15" s="18">
        <v>0.05</v>
      </c>
    </row>
    <row r="16" spans="1:14">
      <c r="A16" s="100" t="s">
        <v>0</v>
      </c>
      <c r="B16" s="109"/>
      <c r="C16" s="109">
        <f>'Profit and loss'!$B16*(100%+$G16)</f>
        <v>0</v>
      </c>
      <c r="D16" s="109">
        <f>'Profit and loss'!$C16*(100%+$G$16)</f>
        <v>0</v>
      </c>
      <c r="E16" s="109">
        <f>'Profit and loss'!$D16*(100%+$G$16)</f>
        <v>0</v>
      </c>
      <c r="F16" s="110">
        <f>'Profit and loss'!$E16*(100%+$G$16)</f>
        <v>0</v>
      </c>
      <c r="G16" s="18">
        <v>0.05</v>
      </c>
    </row>
    <row r="17" spans="1:8">
      <c r="A17" s="100" t="s">
        <v>26</v>
      </c>
      <c r="B17" s="109">
        <f>B8*$G17</f>
        <v>0</v>
      </c>
      <c r="C17" s="109">
        <f>C8*$G17</f>
        <v>0</v>
      </c>
      <c r="D17" s="109">
        <f>D8*$G17</f>
        <v>0</v>
      </c>
      <c r="E17" s="109">
        <f>E8*$G17</f>
        <v>0</v>
      </c>
      <c r="F17" s="110">
        <f>F8*$G17</f>
        <v>0</v>
      </c>
      <c r="G17" s="18">
        <v>0.15</v>
      </c>
    </row>
    <row r="18" spans="1:8">
      <c r="A18" s="100" t="s">
        <v>15</v>
      </c>
      <c r="B18" s="109"/>
      <c r="C18" s="109">
        <f>'Profit and loss'!$B18*(100%+$G18)</f>
        <v>0</v>
      </c>
      <c r="D18" s="109">
        <f>'Profit and loss'!$C18*(100%+$G18)</f>
        <v>0</v>
      </c>
      <c r="E18" s="109">
        <f>'Profit and loss'!$D18*(100%+$G18)</f>
        <v>0</v>
      </c>
      <c r="F18" s="110">
        <f>'Profit and loss'!$E18*(100%+$G18)</f>
        <v>0</v>
      </c>
      <c r="G18" s="18">
        <v>0.05</v>
      </c>
    </row>
    <row r="19" spans="1:8">
      <c r="A19" s="97" t="s">
        <v>23</v>
      </c>
      <c r="B19" s="111">
        <f>SUM(B8:B18)</f>
        <v>0</v>
      </c>
      <c r="C19" s="111">
        <f>SUM(C8:C18)</f>
        <v>0</v>
      </c>
      <c r="D19" s="111">
        <f>SUM(D8:D18)</f>
        <v>0</v>
      </c>
      <c r="E19" s="111">
        <f>SUM(E8:E18)</f>
        <v>0</v>
      </c>
      <c r="F19" s="112">
        <f>SUM(F8:F18)</f>
        <v>0</v>
      </c>
    </row>
    <row r="20" spans="1:8">
      <c r="A20" s="100" t="s">
        <v>36</v>
      </c>
      <c r="B20" s="109">
        <f>B5-B19</f>
        <v>0</v>
      </c>
      <c r="C20" s="109">
        <f>C5-C19</f>
        <v>0</v>
      </c>
      <c r="D20" s="109">
        <f>D5-D19</f>
        <v>0</v>
      </c>
      <c r="E20" s="109">
        <f>E5-E19</f>
        <v>0</v>
      </c>
      <c r="F20" s="110">
        <f>F5-F19</f>
        <v>0</v>
      </c>
    </row>
    <row r="21" spans="1:8">
      <c r="A21" s="100" t="s">
        <v>27</v>
      </c>
      <c r="B21" s="109">
        <f>B5-B19+B10</f>
        <v>0</v>
      </c>
      <c r="C21" s="109">
        <f>C5-C19+C10</f>
        <v>0</v>
      </c>
      <c r="D21" s="109">
        <f>D5-D19+D10</f>
        <v>0</v>
      </c>
      <c r="E21" s="109">
        <f>E5-E19+E10</f>
        <v>0</v>
      </c>
      <c r="F21" s="110">
        <f>F5-F19+F10</f>
        <v>0</v>
      </c>
    </row>
    <row r="22" spans="1:8">
      <c r="A22" s="100" t="s">
        <v>111</v>
      </c>
      <c r="B22" s="109">
        <f>IF(B20&lt;0,0,B20*$G22)</f>
        <v>0</v>
      </c>
      <c r="C22" s="109">
        <f t="shared" ref="C22:F22" si="2">IF(C20&lt;0,0,C20*$G22)</f>
        <v>0</v>
      </c>
      <c r="D22" s="109">
        <f t="shared" si="2"/>
        <v>0</v>
      </c>
      <c r="E22" s="109">
        <f t="shared" si="2"/>
        <v>0</v>
      </c>
      <c r="F22" s="110">
        <f t="shared" si="2"/>
        <v>0</v>
      </c>
      <c r="G22" s="19">
        <v>0.3</v>
      </c>
    </row>
    <row r="23" spans="1:8">
      <c r="A23" s="97" t="s">
        <v>37</v>
      </c>
      <c r="B23" s="111">
        <f>B20-B22</f>
        <v>0</v>
      </c>
      <c r="C23" s="111">
        <f t="shared" ref="C23:F23" si="3">C20-C22</f>
        <v>0</v>
      </c>
      <c r="D23" s="111">
        <f t="shared" si="3"/>
        <v>0</v>
      </c>
      <c r="E23" s="111">
        <f t="shared" si="3"/>
        <v>0</v>
      </c>
      <c r="F23" s="112">
        <f t="shared" si="3"/>
        <v>0</v>
      </c>
      <c r="H23" s="20"/>
    </row>
    <row r="24" spans="1:8">
      <c r="A24" s="113" t="s">
        <v>38</v>
      </c>
      <c r="B24" s="114">
        <f>IF(B2=0,0,B23/B2)</f>
        <v>0</v>
      </c>
      <c r="C24" s="114">
        <f>IF(C2=0,0,C23/C2)</f>
        <v>0</v>
      </c>
      <c r="D24" s="114">
        <f>IF(D2=0,0,D23/D2)</f>
        <v>0</v>
      </c>
      <c r="E24" s="114">
        <f>IF(E2=0,0,E23/E2)</f>
        <v>0</v>
      </c>
      <c r="F24" s="115">
        <f>IF(F2=0,0,F23/F2)</f>
        <v>0</v>
      </c>
    </row>
    <row r="25" spans="1:8">
      <c r="A25" s="21" t="s">
        <v>75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</row>
    <row r="26" spans="1:8">
      <c r="A26" s="23" t="s">
        <v>131</v>
      </c>
      <c r="B26" s="221">
        <f>IF('Sales forecast'!M39=0,IF('Sales forecast-vb'!N7=0,1,(100%-'Profit and loss'!$G$22)*SUM('Sales forecast-vb'!N3:N6)/SUM('Sales forecast-vb'!H3:H6)),(100%-$G22)*'Sales forecast'!M32/'Sales forecast'!M39)</f>
        <v>1</v>
      </c>
      <c r="C26" s="221">
        <f>IF('Sales forecast'!N39=0,IF('Sales forecast-vb'!O7=0,1,(100%-'Profit and loss'!$G$22)*SUM('Sales forecast-vb'!O3:O6)/SUM('Sales forecast-vb'!I3:I6)),(100%-$G22)*'Sales forecast'!N32/'Sales forecast'!N39)</f>
        <v>1</v>
      </c>
      <c r="D26" s="221">
        <f>IF('Sales forecast'!O39=0,IF('Sales forecast-vb'!P7=0,1,(100%-'Profit and loss'!$G$22)*SUM('Sales forecast-vb'!P3:P6)/SUM('Sales forecast-vb'!J3:J6)),(100%-$G22)*'Sales forecast'!O32/'Sales forecast'!O39)</f>
        <v>1</v>
      </c>
      <c r="E26" s="221">
        <f>IF('Sales forecast'!P39=0,IF('Sales forecast-vb'!Q7=0,1,(100%-'Profit and loss'!$G$22)*SUM('Sales forecast-vb'!Q3:Q6)/SUM('Sales forecast-vb'!K3:K6)),(100%-$G22)*'Sales forecast'!P32/'Sales forecast'!P39)</f>
        <v>1</v>
      </c>
      <c r="F26" s="221">
        <f>IF('Sales forecast'!Q39=0,IF('Sales forecast-vb'!R7=0,1,(100%-'Profit and loss'!$G$22)*SUM('Sales forecast-vb'!R3:R6)/SUM('Sales forecast-vb'!L3:L6)),(100%-$G22)*'Sales forecast'!Q32/'Sales forecast'!Q39)</f>
        <v>1</v>
      </c>
    </row>
    <row r="27" spans="1:8">
      <c r="A27" s="10" t="s">
        <v>127</v>
      </c>
      <c r="B27" s="3">
        <f>B22</f>
        <v>0</v>
      </c>
      <c r="C27" s="3">
        <f t="shared" ref="C27:F27" si="4">C22</f>
        <v>0</v>
      </c>
      <c r="D27" s="3">
        <f t="shared" si="4"/>
        <v>0</v>
      </c>
      <c r="E27" s="3">
        <f t="shared" si="4"/>
        <v>0</v>
      </c>
      <c r="F27" s="3">
        <f t="shared" si="4"/>
        <v>0</v>
      </c>
    </row>
    <row r="28" spans="1:8">
      <c r="A28" s="10" t="s">
        <v>128</v>
      </c>
      <c r="B28" s="4">
        <f>B17+B22</f>
        <v>0</v>
      </c>
      <c r="C28" s="4">
        <f>C17+C22</f>
        <v>0</v>
      </c>
      <c r="D28" s="4">
        <f>D17+D22</f>
        <v>0</v>
      </c>
      <c r="E28" s="4">
        <f>E17+E22</f>
        <v>0</v>
      </c>
      <c r="F28" s="4">
        <f>F17+F22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4"/>
    <cellWatch r="C24"/>
    <cellWatch r="D24"/>
    <cellWatch r="E24"/>
    <cellWatch r="F24"/>
  </cellWatches>
  <ignoredErrors>
    <ignoredError sqref="C1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J16"/>
  <sheetViews>
    <sheetView zoomScale="150" zoomScaleNormal="150" workbookViewId="0">
      <selection sqref="A1:B1"/>
    </sheetView>
  </sheetViews>
  <sheetFormatPr defaultRowHeight="12"/>
  <cols>
    <col min="1" max="1" width="44" style="8" customWidth="1"/>
    <col min="2" max="2" width="16.28515625" style="8" customWidth="1"/>
    <col min="3" max="3" width="9.140625" style="8"/>
    <col min="4" max="4" width="6.7109375" style="8" customWidth="1"/>
    <col min="5" max="5" width="9.28515625" style="8" customWidth="1"/>
    <col min="6" max="6" width="9.5703125" style="8" customWidth="1"/>
    <col min="7" max="7" width="11.85546875" style="8" customWidth="1"/>
    <col min="8" max="10" width="14" style="8" customWidth="1"/>
    <col min="11" max="16384" width="9.140625" style="8"/>
  </cols>
  <sheetData>
    <row r="1" spans="1:10">
      <c r="A1" s="247" t="s">
        <v>55</v>
      </c>
      <c r="B1" s="247"/>
      <c r="D1" s="224" t="s">
        <v>112</v>
      </c>
      <c r="E1" s="224" t="s">
        <v>113</v>
      </c>
      <c r="F1" s="224" t="s">
        <v>114</v>
      </c>
      <c r="G1" s="224" t="s">
        <v>116</v>
      </c>
      <c r="H1" s="225" t="s">
        <v>115</v>
      </c>
      <c r="I1" s="225" t="s">
        <v>117</v>
      </c>
      <c r="J1" s="226" t="s">
        <v>118</v>
      </c>
    </row>
    <row r="2" spans="1:10">
      <c r="A2" s="227" t="s">
        <v>53</v>
      </c>
      <c r="B2" s="228">
        <f>IF((B5-B6)=0,0,B7/(B5-B6))</f>
        <v>0</v>
      </c>
      <c r="D2" s="229">
        <f>ROUND($B$2/6*0,0)</f>
        <v>0</v>
      </c>
      <c r="E2" s="230">
        <f t="shared" ref="E2:E11" si="0">B$5</f>
        <v>0</v>
      </c>
      <c r="F2" s="230">
        <f t="shared" ref="F2:F11" si="1">B$6</f>
        <v>0</v>
      </c>
      <c r="G2" s="230">
        <f t="shared" ref="G2:G11" si="2">B$7</f>
        <v>0</v>
      </c>
      <c r="H2" s="231">
        <f t="shared" ref="H2:H11" si="3">$D2*E2</f>
        <v>0</v>
      </c>
      <c r="I2" s="231">
        <f t="shared" ref="I2:I11" si="4">$D2*F2</f>
        <v>0</v>
      </c>
      <c r="J2" s="232">
        <f>G2+I2</f>
        <v>0</v>
      </c>
    </row>
    <row r="3" spans="1:10">
      <c r="A3" s="227" t="s">
        <v>51</v>
      </c>
      <c r="B3" s="233">
        <f>IF(B5=0,0,B7/(1-B6/B5))</f>
        <v>0</v>
      </c>
      <c r="D3" s="229">
        <f>ROUND($B$2/6*1,0)</f>
        <v>0</v>
      </c>
      <c r="E3" s="230">
        <f t="shared" si="0"/>
        <v>0</v>
      </c>
      <c r="F3" s="230">
        <f t="shared" si="1"/>
        <v>0</v>
      </c>
      <c r="G3" s="230">
        <f t="shared" si="2"/>
        <v>0</v>
      </c>
      <c r="H3" s="231">
        <f t="shared" si="3"/>
        <v>0</v>
      </c>
      <c r="I3" s="231">
        <f t="shared" si="4"/>
        <v>0</v>
      </c>
      <c r="J3" s="232">
        <f t="shared" ref="J3:J11" si="5">G3+I3</f>
        <v>0</v>
      </c>
    </row>
    <row r="4" spans="1:10">
      <c r="A4" s="248" t="s">
        <v>56</v>
      </c>
      <c r="B4" s="248"/>
      <c r="D4" s="229">
        <f>ROUND($B$2/6*2,0)</f>
        <v>0</v>
      </c>
      <c r="E4" s="230">
        <f t="shared" si="0"/>
        <v>0</v>
      </c>
      <c r="F4" s="230">
        <f t="shared" si="1"/>
        <v>0</v>
      </c>
      <c r="G4" s="230">
        <f t="shared" si="2"/>
        <v>0</v>
      </c>
      <c r="H4" s="231">
        <f t="shared" si="3"/>
        <v>0</v>
      </c>
      <c r="I4" s="231">
        <f t="shared" si="4"/>
        <v>0</v>
      </c>
      <c r="J4" s="232">
        <f t="shared" si="5"/>
        <v>0</v>
      </c>
    </row>
    <row r="5" spans="1:10">
      <c r="A5" s="227" t="s">
        <v>50</v>
      </c>
      <c r="B5" s="234">
        <f>IF('Sales forecast'!B9=0,0,'Sales forecast'!B24/'Sales forecast'!B9)</f>
        <v>0</v>
      </c>
      <c r="D5" s="229">
        <f>ROUND($B$2/6*3,0)</f>
        <v>0</v>
      </c>
      <c r="E5" s="230">
        <f t="shared" si="0"/>
        <v>0</v>
      </c>
      <c r="F5" s="230">
        <f t="shared" si="1"/>
        <v>0</v>
      </c>
      <c r="G5" s="230">
        <f t="shared" si="2"/>
        <v>0</v>
      </c>
      <c r="H5" s="231">
        <f t="shared" si="3"/>
        <v>0</v>
      </c>
      <c r="I5" s="231">
        <f t="shared" si="4"/>
        <v>0</v>
      </c>
      <c r="J5" s="232">
        <f t="shared" si="5"/>
        <v>0</v>
      </c>
    </row>
    <row r="6" spans="1:10">
      <c r="A6" s="227" t="s">
        <v>52</v>
      </c>
      <c r="B6" s="234">
        <f>IF('Sales forecast'!B9=0,0,'Sales forecast'!B39/'Sales forecast'!B9)</f>
        <v>0</v>
      </c>
      <c r="D6" s="229">
        <f>ROUND($B$2/6*4,0)</f>
        <v>0</v>
      </c>
      <c r="E6" s="230">
        <f t="shared" si="0"/>
        <v>0</v>
      </c>
      <c r="F6" s="230">
        <f t="shared" si="1"/>
        <v>0</v>
      </c>
      <c r="G6" s="230">
        <f t="shared" si="2"/>
        <v>0</v>
      </c>
      <c r="H6" s="231">
        <f t="shared" si="3"/>
        <v>0</v>
      </c>
      <c r="I6" s="231">
        <f t="shared" si="4"/>
        <v>0</v>
      </c>
      <c r="J6" s="232">
        <f t="shared" si="5"/>
        <v>0</v>
      </c>
    </row>
    <row r="7" spans="1:10">
      <c r="A7" s="227" t="s">
        <v>54</v>
      </c>
      <c r="B7" s="233">
        <f>IF(B5=0,0,'Profit and loss'!B19/12)</f>
        <v>0</v>
      </c>
      <c r="D7" s="229">
        <f>ROUND($B$2/6*5,0)</f>
        <v>0</v>
      </c>
      <c r="E7" s="230">
        <f t="shared" si="0"/>
        <v>0</v>
      </c>
      <c r="F7" s="230">
        <f t="shared" si="1"/>
        <v>0</v>
      </c>
      <c r="G7" s="230">
        <f t="shared" si="2"/>
        <v>0</v>
      </c>
      <c r="H7" s="231">
        <f t="shared" si="3"/>
        <v>0</v>
      </c>
      <c r="I7" s="231">
        <f t="shared" si="4"/>
        <v>0</v>
      </c>
      <c r="J7" s="232">
        <f t="shared" si="5"/>
        <v>0</v>
      </c>
    </row>
    <row r="8" spans="1:10">
      <c r="D8" s="235">
        <f>ROUNDDOWN(B2,0)</f>
        <v>0</v>
      </c>
      <c r="E8" s="230">
        <f t="shared" si="0"/>
        <v>0</v>
      </c>
      <c r="F8" s="230">
        <f t="shared" si="1"/>
        <v>0</v>
      </c>
      <c r="G8" s="230">
        <f t="shared" si="2"/>
        <v>0</v>
      </c>
      <c r="H8" s="231">
        <f t="shared" si="3"/>
        <v>0</v>
      </c>
      <c r="I8" s="231">
        <f t="shared" si="4"/>
        <v>0</v>
      </c>
      <c r="J8" s="232">
        <f t="shared" si="5"/>
        <v>0</v>
      </c>
    </row>
    <row r="9" spans="1:10">
      <c r="D9" s="229">
        <f>ROUND($B$2/6*7,0)</f>
        <v>0</v>
      </c>
      <c r="E9" s="230">
        <f t="shared" si="0"/>
        <v>0</v>
      </c>
      <c r="F9" s="230">
        <f t="shared" si="1"/>
        <v>0</v>
      </c>
      <c r="G9" s="230">
        <f t="shared" si="2"/>
        <v>0</v>
      </c>
      <c r="H9" s="231">
        <f t="shared" si="3"/>
        <v>0</v>
      </c>
      <c r="I9" s="231">
        <f t="shared" si="4"/>
        <v>0</v>
      </c>
      <c r="J9" s="232">
        <f t="shared" si="5"/>
        <v>0</v>
      </c>
    </row>
    <row r="10" spans="1:10">
      <c r="D10" s="229">
        <f>ROUND($B$2/6*8,0)</f>
        <v>0</v>
      </c>
      <c r="E10" s="230">
        <f t="shared" si="0"/>
        <v>0</v>
      </c>
      <c r="F10" s="230">
        <f t="shared" si="1"/>
        <v>0</v>
      </c>
      <c r="G10" s="230">
        <f t="shared" si="2"/>
        <v>0</v>
      </c>
      <c r="H10" s="231">
        <f t="shared" si="3"/>
        <v>0</v>
      </c>
      <c r="I10" s="231">
        <f t="shared" si="4"/>
        <v>0</v>
      </c>
      <c r="J10" s="232">
        <f t="shared" si="5"/>
        <v>0</v>
      </c>
    </row>
    <row r="11" spans="1:10">
      <c r="D11" s="236">
        <f>ROUND($B$2/6*9,0)</f>
        <v>0</v>
      </c>
      <c r="E11" s="237">
        <f t="shared" si="0"/>
        <v>0</v>
      </c>
      <c r="F11" s="237">
        <f t="shared" si="1"/>
        <v>0</v>
      </c>
      <c r="G11" s="237">
        <f t="shared" si="2"/>
        <v>0</v>
      </c>
      <c r="H11" s="238">
        <f t="shared" si="3"/>
        <v>0</v>
      </c>
      <c r="I11" s="238">
        <f t="shared" si="4"/>
        <v>0</v>
      </c>
      <c r="J11" s="239">
        <f t="shared" si="5"/>
        <v>0</v>
      </c>
    </row>
    <row r="13" spans="1:10">
      <c r="A13" s="249" t="s">
        <v>55</v>
      </c>
      <c r="B13" s="250"/>
    </row>
    <row r="14" spans="1:10">
      <c r="A14" s="251" t="s">
        <v>56</v>
      </c>
      <c r="B14" s="252"/>
    </row>
    <row r="15" spans="1:10">
      <c r="A15" s="240" t="s">
        <v>162</v>
      </c>
      <c r="B15" s="222">
        <f>IF('Sales forecast-vb'!B7=0,0,'Profit and loss'!B3/'Profit and loss'!B2)</f>
        <v>0</v>
      </c>
    </row>
    <row r="16" spans="1:10">
      <c r="A16" s="240" t="s">
        <v>54</v>
      </c>
      <c r="B16" s="223">
        <f>IF('Sales forecast-vb'!B7=0,0,'Profit and loss'!B19/12)</f>
        <v>0</v>
      </c>
    </row>
  </sheetData>
  <sheetProtection formatCells="0" insertRows="0" deleteRows="0"/>
  <mergeCells count="4">
    <mergeCell ref="A1:B1"/>
    <mergeCell ref="A4:B4"/>
    <mergeCell ref="A13:B13"/>
    <mergeCell ref="A14:B1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/>
  </sheetViews>
  <sheetFormatPr defaultRowHeight="12"/>
  <cols>
    <col min="1" max="1" width="34.42578125" style="38" bestFit="1" customWidth="1"/>
    <col min="2" max="2" width="5.7109375" style="39" customWidth="1"/>
    <col min="3" max="7" width="14.28515625" style="37" customWidth="1"/>
    <col min="8" max="16384" width="9.140625" style="37"/>
  </cols>
  <sheetData>
    <row r="1" spans="1:7">
      <c r="A1" s="116" t="s">
        <v>78</v>
      </c>
      <c r="B1" s="117"/>
      <c r="C1" s="118" t="s">
        <v>66</v>
      </c>
      <c r="D1" s="118" t="s">
        <v>67</v>
      </c>
      <c r="E1" s="118" t="s">
        <v>68</v>
      </c>
      <c r="F1" s="118" t="s">
        <v>69</v>
      </c>
      <c r="G1" s="119" t="s">
        <v>70</v>
      </c>
    </row>
    <row r="2" spans="1:7">
      <c r="A2" s="120" t="s">
        <v>79</v>
      </c>
      <c r="B2" s="121"/>
      <c r="C2" s="122"/>
      <c r="D2" s="122"/>
      <c r="E2" s="122"/>
      <c r="F2" s="122"/>
      <c r="G2" s="123"/>
    </row>
    <row r="3" spans="1:7">
      <c r="A3" s="124" t="s">
        <v>80</v>
      </c>
      <c r="B3" s="125"/>
      <c r="C3" s="126"/>
      <c r="D3" s="127"/>
      <c r="E3" s="127"/>
      <c r="F3" s="127"/>
      <c r="G3" s="128"/>
    </row>
    <row r="4" spans="1:7">
      <c r="A4" s="124" t="s">
        <v>81</v>
      </c>
      <c r="B4" s="125"/>
      <c r="C4" s="126">
        <f>'Sales forecast'!B24</f>
        <v>0</v>
      </c>
      <c r="D4" s="126">
        <f>'Sales forecast'!C24</f>
        <v>0</v>
      </c>
      <c r="E4" s="126">
        <f>'Sales forecast'!D24</f>
        <v>0</v>
      </c>
      <c r="F4" s="126">
        <f>'Sales forecast'!E24</f>
        <v>0</v>
      </c>
      <c r="G4" s="129">
        <f>'Sales forecast'!F24</f>
        <v>0</v>
      </c>
    </row>
    <row r="5" spans="1:7">
      <c r="A5" s="124" t="s">
        <v>82</v>
      </c>
      <c r="B5" s="125"/>
      <c r="C5" s="126"/>
      <c r="D5" s="126"/>
      <c r="E5" s="126"/>
      <c r="F5" s="126"/>
      <c r="G5" s="129"/>
    </row>
    <row r="6" spans="1:7">
      <c r="A6" s="130" t="s">
        <v>83</v>
      </c>
      <c r="B6" s="125"/>
      <c r="C6" s="126">
        <f>C4+C5</f>
        <v>0</v>
      </c>
      <c r="D6" s="126">
        <f t="shared" ref="D6:G6" si="0">D4+D5</f>
        <v>0</v>
      </c>
      <c r="E6" s="126">
        <f t="shared" si="0"/>
        <v>0</v>
      </c>
      <c r="F6" s="126">
        <f t="shared" si="0"/>
        <v>0</v>
      </c>
      <c r="G6" s="129">
        <f t="shared" si="0"/>
        <v>0</v>
      </c>
    </row>
    <row r="7" spans="1:7">
      <c r="A7" s="120" t="s">
        <v>84</v>
      </c>
      <c r="B7" s="121"/>
      <c r="C7" s="122"/>
      <c r="D7" s="122"/>
      <c r="E7" s="122"/>
      <c r="F7" s="122"/>
      <c r="G7" s="123"/>
    </row>
    <row r="8" spans="1:7">
      <c r="A8" s="124" t="s">
        <v>85</v>
      </c>
      <c r="B8" s="125"/>
      <c r="C8" s="126"/>
      <c r="D8" s="126"/>
      <c r="E8" s="126"/>
      <c r="F8" s="126"/>
      <c r="G8" s="129"/>
    </row>
    <row r="9" spans="1:7">
      <c r="A9" s="124" t="s">
        <v>86</v>
      </c>
      <c r="B9" s="131">
        <v>0</v>
      </c>
      <c r="C9" s="126">
        <f>$B9*'Profit and loss'!B2</f>
        <v>0</v>
      </c>
      <c r="D9" s="126">
        <f>$B9*'Profit and loss'!C2</f>
        <v>0</v>
      </c>
      <c r="E9" s="126">
        <f>$B9*'Profit and loss'!D2</f>
        <v>0</v>
      </c>
      <c r="F9" s="126">
        <f>$B9*'Profit and loss'!E2</f>
        <v>0</v>
      </c>
      <c r="G9" s="129">
        <f>$B9*'Profit and loss'!F2</f>
        <v>0</v>
      </c>
    </row>
    <row r="10" spans="1:7">
      <c r="A10" s="124" t="s">
        <v>87</v>
      </c>
      <c r="B10" s="125"/>
      <c r="C10" s="126"/>
      <c r="D10" s="126"/>
      <c r="E10" s="126"/>
      <c r="F10" s="126"/>
      <c r="G10" s="129"/>
    </row>
    <row r="11" spans="1:7">
      <c r="A11" s="124" t="s">
        <v>88</v>
      </c>
      <c r="B11" s="125"/>
      <c r="C11" s="126"/>
      <c r="D11" s="126"/>
      <c r="E11" s="126"/>
      <c r="F11" s="126"/>
      <c r="G11" s="129"/>
    </row>
    <row r="12" spans="1:7">
      <c r="A12" s="124" t="s">
        <v>89</v>
      </c>
      <c r="B12" s="125"/>
      <c r="C12" s="126"/>
      <c r="D12" s="126"/>
      <c r="E12" s="126"/>
      <c r="F12" s="126"/>
      <c r="G12" s="129"/>
    </row>
    <row r="13" spans="1:7">
      <c r="A13" s="124" t="s">
        <v>90</v>
      </c>
      <c r="B13" s="125"/>
      <c r="C13" s="126"/>
      <c r="D13" s="126"/>
      <c r="E13" s="126"/>
      <c r="F13" s="126"/>
      <c r="G13" s="129"/>
    </row>
    <row r="14" spans="1:7">
      <c r="A14" s="124" t="s">
        <v>91</v>
      </c>
      <c r="B14" s="125"/>
      <c r="C14" s="126"/>
      <c r="D14" s="126"/>
      <c r="E14" s="126"/>
      <c r="F14" s="126"/>
      <c r="G14" s="129"/>
    </row>
    <row r="15" spans="1:7">
      <c r="A15" s="124" t="s">
        <v>92</v>
      </c>
      <c r="B15" s="125"/>
      <c r="C15" s="126"/>
      <c r="D15" s="126"/>
      <c r="E15" s="126"/>
      <c r="F15" s="126"/>
      <c r="G15" s="129"/>
    </row>
    <row r="16" spans="1:7">
      <c r="A16" s="130" t="s">
        <v>93</v>
      </c>
      <c r="B16" s="125"/>
      <c r="C16" s="126">
        <f>C6+SUM(C9:C15)-C8</f>
        <v>0</v>
      </c>
      <c r="D16" s="126">
        <f t="shared" ref="D16:G16" si="1">D6+SUM(D9:D15)-D8</f>
        <v>0</v>
      </c>
      <c r="E16" s="126">
        <f t="shared" si="1"/>
        <v>0</v>
      </c>
      <c r="F16" s="126">
        <f t="shared" si="1"/>
        <v>0</v>
      </c>
      <c r="G16" s="129">
        <f t="shared" si="1"/>
        <v>0</v>
      </c>
    </row>
    <row r="17" spans="1:7">
      <c r="A17" s="116" t="s">
        <v>94</v>
      </c>
      <c r="B17" s="117"/>
      <c r="C17" s="118" t="s">
        <v>66</v>
      </c>
      <c r="D17" s="118" t="s">
        <v>67</v>
      </c>
      <c r="E17" s="118" t="s">
        <v>68</v>
      </c>
      <c r="F17" s="118" t="s">
        <v>69</v>
      </c>
      <c r="G17" s="119" t="s">
        <v>70</v>
      </c>
    </row>
    <row r="18" spans="1:7">
      <c r="A18" s="120" t="s">
        <v>95</v>
      </c>
      <c r="B18" s="121"/>
      <c r="C18" s="122"/>
      <c r="D18" s="122"/>
      <c r="E18" s="122"/>
      <c r="F18" s="122"/>
      <c r="G18" s="123"/>
    </row>
    <row r="19" spans="1:7">
      <c r="A19" s="124" t="s">
        <v>96</v>
      </c>
      <c r="B19" s="125"/>
      <c r="C19" s="126">
        <f>'Sales forecast'!B39+'Profit and loss'!B19+'Profit and loss'!B22-'Profit and loss'!B10</f>
        <v>0</v>
      </c>
      <c r="D19" s="126">
        <f>'Sales forecast'!C39+'Profit and loss'!C19+'Profit and loss'!C22-'Profit and loss'!C10</f>
        <v>0</v>
      </c>
      <c r="E19" s="126">
        <f>'Sales forecast'!D39+'Profit and loss'!D19+'Profit and loss'!D22-'Profit and loss'!D10</f>
        <v>0</v>
      </c>
      <c r="F19" s="126">
        <f>'Sales forecast'!E39+'Profit and loss'!E19+'Profit and loss'!E22-'Profit and loss'!E10</f>
        <v>0</v>
      </c>
      <c r="G19" s="129">
        <f>'Sales forecast'!F39+'Profit and loss'!F19+'Profit and loss'!F22-'Profit and loss'!F10</f>
        <v>0</v>
      </c>
    </row>
    <row r="20" spans="1:7">
      <c r="A20" s="124" t="s">
        <v>97</v>
      </c>
      <c r="B20" s="125"/>
      <c r="C20" s="126"/>
      <c r="D20" s="126"/>
      <c r="E20" s="126"/>
      <c r="F20" s="126"/>
      <c r="G20" s="129"/>
    </row>
    <row r="21" spans="1:7">
      <c r="A21" s="130" t="s">
        <v>98</v>
      </c>
      <c r="B21" s="125"/>
      <c r="C21" s="126">
        <f>SUM(C19:C20)</f>
        <v>0</v>
      </c>
      <c r="D21" s="126">
        <f t="shared" ref="D21:G21" si="2">SUM(D19:D20)</f>
        <v>0</v>
      </c>
      <c r="E21" s="126">
        <f t="shared" si="2"/>
        <v>0</v>
      </c>
      <c r="F21" s="126">
        <f t="shared" si="2"/>
        <v>0</v>
      </c>
      <c r="G21" s="129">
        <f t="shared" si="2"/>
        <v>0</v>
      </c>
    </row>
    <row r="22" spans="1:7">
      <c r="A22" s="120" t="s">
        <v>99</v>
      </c>
      <c r="B22" s="121"/>
      <c r="C22" s="122"/>
      <c r="D22" s="122"/>
      <c r="E22" s="122"/>
      <c r="F22" s="122"/>
      <c r="G22" s="123"/>
    </row>
    <row r="23" spans="1:7">
      <c r="A23" s="124" t="s">
        <v>100</v>
      </c>
      <c r="B23" s="125"/>
      <c r="C23" s="126"/>
      <c r="D23" s="126"/>
      <c r="E23" s="126"/>
      <c r="F23" s="126"/>
      <c r="G23" s="129"/>
    </row>
    <row r="24" spans="1:7">
      <c r="A24" s="124" t="s">
        <v>101</v>
      </c>
      <c r="B24" s="125"/>
      <c r="C24" s="126"/>
      <c r="D24" s="126"/>
      <c r="E24" s="126"/>
      <c r="F24" s="126"/>
      <c r="G24" s="129"/>
    </row>
    <row r="25" spans="1:7">
      <c r="A25" s="124" t="s">
        <v>102</v>
      </c>
      <c r="B25" s="125"/>
      <c r="C25" s="126"/>
      <c r="D25" s="126"/>
      <c r="E25" s="126"/>
      <c r="F25" s="126"/>
      <c r="G25" s="129"/>
    </row>
    <row r="26" spans="1:7">
      <c r="A26" s="124" t="s">
        <v>103</v>
      </c>
      <c r="B26" s="125"/>
      <c r="C26" s="126"/>
      <c r="D26" s="126"/>
      <c r="E26" s="126"/>
      <c r="F26" s="126"/>
      <c r="G26" s="129"/>
    </row>
    <row r="27" spans="1:7">
      <c r="A27" s="124" t="s">
        <v>104</v>
      </c>
      <c r="B27" s="125"/>
      <c r="C27" s="126"/>
      <c r="D27" s="126"/>
      <c r="E27" s="126"/>
      <c r="F27" s="126"/>
      <c r="G27" s="129"/>
    </row>
    <row r="28" spans="1:7">
      <c r="A28" s="124" t="s">
        <v>105</v>
      </c>
      <c r="B28" s="125"/>
      <c r="C28" s="126"/>
      <c r="D28" s="126"/>
      <c r="E28" s="126"/>
      <c r="F28" s="126"/>
      <c r="G28" s="129"/>
    </row>
    <row r="29" spans="1:7">
      <c r="A29" s="124" t="s">
        <v>106</v>
      </c>
      <c r="B29" s="125"/>
      <c r="C29" s="126"/>
      <c r="D29" s="126"/>
      <c r="E29" s="126"/>
      <c r="F29" s="126"/>
      <c r="G29" s="129"/>
    </row>
    <row r="30" spans="1:7">
      <c r="A30" s="124" t="s">
        <v>107</v>
      </c>
      <c r="B30" s="125"/>
      <c r="C30" s="126"/>
      <c r="D30" s="126"/>
      <c r="E30" s="126"/>
      <c r="F30" s="126"/>
      <c r="G30" s="129"/>
    </row>
    <row r="31" spans="1:7">
      <c r="A31" s="130" t="s">
        <v>108</v>
      </c>
      <c r="B31" s="125"/>
      <c r="C31" s="126">
        <f>C21+SUM(C24:C30)-C23</f>
        <v>0</v>
      </c>
      <c r="D31" s="126">
        <f t="shared" ref="D31:G31" si="3">D21+SUM(D24:D30)-D23</f>
        <v>0</v>
      </c>
      <c r="E31" s="126">
        <f t="shared" si="3"/>
        <v>0</v>
      </c>
      <c r="F31" s="126">
        <f t="shared" si="3"/>
        <v>0</v>
      </c>
      <c r="G31" s="129">
        <f t="shared" si="3"/>
        <v>0</v>
      </c>
    </row>
    <row r="32" spans="1:7">
      <c r="A32" s="120" t="s">
        <v>109</v>
      </c>
      <c r="B32" s="121"/>
      <c r="C32" s="132">
        <f>C16-C31</f>
        <v>0</v>
      </c>
      <c r="D32" s="132">
        <f t="shared" ref="D32:G32" si="4">D16-D31</f>
        <v>0</v>
      </c>
      <c r="E32" s="132">
        <f t="shared" si="4"/>
        <v>0</v>
      </c>
      <c r="F32" s="132">
        <f t="shared" si="4"/>
        <v>0</v>
      </c>
      <c r="G32" s="133">
        <f t="shared" si="4"/>
        <v>0</v>
      </c>
    </row>
    <row r="33" spans="1:7">
      <c r="A33" s="134" t="s">
        <v>110</v>
      </c>
      <c r="B33" s="135"/>
      <c r="C33" s="136">
        <f>'Start-up'!B13+C32</f>
        <v>0</v>
      </c>
      <c r="D33" s="136">
        <f>C33+D32</f>
        <v>0</v>
      </c>
      <c r="E33" s="136">
        <f t="shared" ref="E33:G33" si="5">D33+E32</f>
        <v>0</v>
      </c>
      <c r="F33" s="136">
        <f t="shared" si="5"/>
        <v>0</v>
      </c>
      <c r="G33" s="137">
        <f t="shared" si="5"/>
        <v>0</v>
      </c>
    </row>
  </sheetData>
  <sheetProtection formatCells="0" insertRows="0" deleteRow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F16"/>
  <sheetViews>
    <sheetView zoomScale="150" zoomScaleNormal="150" workbookViewId="0"/>
  </sheetViews>
  <sheetFormatPr defaultRowHeight="12"/>
  <cols>
    <col min="1" max="1" width="33.7109375" style="1" bestFit="1" customWidth="1"/>
    <col min="2" max="6" width="14.28515625" style="1" customWidth="1"/>
    <col min="7" max="16384" width="9.140625" style="1"/>
  </cols>
  <sheetData>
    <row r="1" spans="1:6">
      <c r="A1" s="138" t="s">
        <v>45</v>
      </c>
      <c r="B1" s="139" t="s">
        <v>18</v>
      </c>
      <c r="C1" s="139" t="s">
        <v>19</v>
      </c>
      <c r="D1" s="139" t="s">
        <v>20</v>
      </c>
      <c r="E1" s="139" t="s">
        <v>21</v>
      </c>
      <c r="F1" s="140" t="s">
        <v>22</v>
      </c>
    </row>
    <row r="2" spans="1:6">
      <c r="A2" s="141" t="s">
        <v>44</v>
      </c>
      <c r="B2" s="142"/>
      <c r="C2" s="143"/>
      <c r="D2" s="143"/>
      <c r="E2" s="143"/>
      <c r="F2" s="144"/>
    </row>
    <row r="3" spans="1:6">
      <c r="A3" s="145" t="s">
        <v>46</v>
      </c>
      <c r="B3" s="146"/>
      <c r="C3" s="147"/>
      <c r="D3" s="147"/>
      <c r="E3" s="147"/>
      <c r="F3" s="148"/>
    </row>
    <row r="4" spans="1:6">
      <c r="A4" s="149" t="s">
        <v>119</v>
      </c>
      <c r="B4" s="150">
        <f>'Cash-flow'!C33</f>
        <v>0</v>
      </c>
      <c r="C4" s="150">
        <f>'Cash-flow'!D33</f>
        <v>0</v>
      </c>
      <c r="D4" s="150">
        <f>'Cash-flow'!E33</f>
        <v>0</v>
      </c>
      <c r="E4" s="150">
        <f>'Cash-flow'!F33</f>
        <v>0</v>
      </c>
      <c r="F4" s="151">
        <f>'Cash-flow'!G33</f>
        <v>0</v>
      </c>
    </row>
    <row r="5" spans="1:6">
      <c r="A5" s="145" t="s">
        <v>43</v>
      </c>
      <c r="B5" s="150">
        <f>B4</f>
        <v>0</v>
      </c>
      <c r="C5" s="150">
        <f t="shared" ref="C5:F5" si="0">C4</f>
        <v>0</v>
      </c>
      <c r="D5" s="150">
        <f t="shared" si="0"/>
        <v>0</v>
      </c>
      <c r="E5" s="150">
        <f t="shared" si="0"/>
        <v>0</v>
      </c>
      <c r="F5" s="151">
        <f t="shared" si="0"/>
        <v>0</v>
      </c>
    </row>
    <row r="6" spans="1:6">
      <c r="A6" s="145" t="s">
        <v>6</v>
      </c>
      <c r="B6" s="146"/>
      <c r="C6" s="147"/>
      <c r="D6" s="147"/>
      <c r="E6" s="147"/>
      <c r="F6" s="148"/>
    </row>
    <row r="7" spans="1:6">
      <c r="A7" s="149" t="s">
        <v>6</v>
      </c>
      <c r="B7" s="150">
        <f>'Start-up'!B16+'Cash-flow'!C29-'Cash-flow'!C14</f>
        <v>0</v>
      </c>
      <c r="C7" s="150">
        <f>B7+'Cash-flow'!D29-'Cash-flow'!D14</f>
        <v>0</v>
      </c>
      <c r="D7" s="150">
        <f>C7+'Cash-flow'!E29-'Cash-flow'!E14</f>
        <v>0</v>
      </c>
      <c r="E7" s="150">
        <f>D7+'Cash-flow'!F29-'Cash-flow'!F14</f>
        <v>0</v>
      </c>
      <c r="F7" s="151">
        <f>E7+'Cash-flow'!G29-'Cash-flow'!G14</f>
        <v>0</v>
      </c>
    </row>
    <row r="8" spans="1:6">
      <c r="A8" s="149" t="s">
        <v>41</v>
      </c>
      <c r="B8" s="150">
        <f>'Profit and loss'!B10</f>
        <v>0</v>
      </c>
      <c r="C8" s="150">
        <f>B8+'Profit and loss'!C10</f>
        <v>0</v>
      </c>
      <c r="D8" s="150">
        <f>C8+'Profit and loss'!D10</f>
        <v>0</v>
      </c>
      <c r="E8" s="150">
        <f>D8+'Profit and loss'!E10</f>
        <v>0</v>
      </c>
      <c r="F8" s="151">
        <f>E8+'Profit and loss'!F10</f>
        <v>0</v>
      </c>
    </row>
    <row r="9" spans="1:6">
      <c r="A9" s="145" t="s">
        <v>40</v>
      </c>
      <c r="B9" s="150">
        <f>B7-B8</f>
        <v>0</v>
      </c>
      <c r="C9" s="150">
        <f t="shared" ref="C9:F9" si="1">C7-C8</f>
        <v>0</v>
      </c>
      <c r="D9" s="150">
        <f t="shared" si="1"/>
        <v>0</v>
      </c>
      <c r="E9" s="150">
        <f t="shared" si="1"/>
        <v>0</v>
      </c>
      <c r="F9" s="151">
        <f t="shared" si="1"/>
        <v>0</v>
      </c>
    </row>
    <row r="10" spans="1:6">
      <c r="A10" s="145" t="s">
        <v>2</v>
      </c>
      <c r="B10" s="150">
        <f>B5+B9</f>
        <v>0</v>
      </c>
      <c r="C10" s="150">
        <f t="shared" ref="C10:F10" si="2">C5+C9</f>
        <v>0</v>
      </c>
      <c r="D10" s="150">
        <f t="shared" si="2"/>
        <v>0</v>
      </c>
      <c r="E10" s="150">
        <f t="shared" si="2"/>
        <v>0</v>
      </c>
      <c r="F10" s="151">
        <f t="shared" si="2"/>
        <v>0</v>
      </c>
    </row>
    <row r="11" spans="1:6">
      <c r="A11" s="141" t="s">
        <v>77</v>
      </c>
      <c r="B11" s="152" t="s">
        <v>18</v>
      </c>
      <c r="C11" s="152" t="s">
        <v>19</v>
      </c>
      <c r="D11" s="152" t="s">
        <v>20</v>
      </c>
      <c r="E11" s="152" t="s">
        <v>21</v>
      </c>
      <c r="F11" s="153" t="s">
        <v>22</v>
      </c>
    </row>
    <row r="12" spans="1:6">
      <c r="A12" s="149" t="s">
        <v>47</v>
      </c>
      <c r="B12" s="150">
        <f>'Start-up'!B18+'Cash-flow'!C15</f>
        <v>0</v>
      </c>
      <c r="C12" s="150">
        <f>B12+'Cash-flow'!D15</f>
        <v>0</v>
      </c>
      <c r="D12" s="150">
        <f>C12+'Cash-flow'!E15</f>
        <v>0</v>
      </c>
      <c r="E12" s="150">
        <f>D12+'Cash-flow'!F15</f>
        <v>0</v>
      </c>
      <c r="F12" s="151">
        <f>E12+'Cash-flow'!G15</f>
        <v>0</v>
      </c>
    </row>
    <row r="13" spans="1:6">
      <c r="A13" s="149" t="s">
        <v>48</v>
      </c>
      <c r="B13" s="150">
        <f>B10-B12-B14</f>
        <v>0</v>
      </c>
      <c r="C13" s="150">
        <f>B13+B14</f>
        <v>0</v>
      </c>
      <c r="D13" s="150">
        <f t="shared" ref="D13:F13" si="3">C13+C14</f>
        <v>0</v>
      </c>
      <c r="E13" s="150">
        <f t="shared" si="3"/>
        <v>0</v>
      </c>
      <c r="F13" s="151">
        <f t="shared" si="3"/>
        <v>0</v>
      </c>
    </row>
    <row r="14" spans="1:6">
      <c r="A14" s="149" t="s">
        <v>49</v>
      </c>
      <c r="B14" s="150">
        <f>'Profit and loss'!B23</f>
        <v>0</v>
      </c>
      <c r="C14" s="150">
        <f>'Profit and loss'!C23</f>
        <v>0</v>
      </c>
      <c r="D14" s="150">
        <f>'Profit and loss'!D23</f>
        <v>0</v>
      </c>
      <c r="E14" s="150">
        <f>'Profit and loss'!E23</f>
        <v>0</v>
      </c>
      <c r="F14" s="151">
        <f>'Profit and loss'!F23</f>
        <v>0</v>
      </c>
    </row>
    <row r="15" spans="1:6">
      <c r="A15" s="145" t="s">
        <v>42</v>
      </c>
      <c r="B15" s="150">
        <f>SUM(B12:B14)</f>
        <v>0</v>
      </c>
      <c r="C15" s="150">
        <f t="shared" ref="C15:F15" si="4">SUM(C12:C14)</f>
        <v>0</v>
      </c>
      <c r="D15" s="150">
        <f t="shared" si="4"/>
        <v>0</v>
      </c>
      <c r="E15" s="150">
        <f t="shared" si="4"/>
        <v>0</v>
      </c>
      <c r="F15" s="151">
        <f t="shared" si="4"/>
        <v>0</v>
      </c>
    </row>
    <row r="16" spans="1:6">
      <c r="A16" s="154" t="s">
        <v>39</v>
      </c>
      <c r="B16" s="155">
        <f>B10</f>
        <v>0</v>
      </c>
      <c r="C16" s="155">
        <f t="shared" ref="C16:F16" si="5">C10</f>
        <v>0</v>
      </c>
      <c r="D16" s="155">
        <f t="shared" si="5"/>
        <v>0</v>
      </c>
      <c r="E16" s="155">
        <f t="shared" si="5"/>
        <v>0</v>
      </c>
      <c r="F16" s="156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"/>
  <sheetViews>
    <sheetView zoomScale="150" zoomScaleNormal="150" workbookViewId="0">
      <selection activeCell="J1" sqref="J1"/>
    </sheetView>
  </sheetViews>
  <sheetFormatPr defaultRowHeight="1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zoomScale="150" zoomScaleNormal="150" workbookViewId="0">
      <selection activeCell="A4" sqref="A4"/>
    </sheetView>
  </sheetViews>
  <sheetFormatPr defaultRowHeight="12"/>
  <cols>
    <col min="1" max="1" width="37" style="24" bestFit="1" customWidth="1"/>
    <col min="2" max="6" width="14.28515625" style="24" customWidth="1"/>
    <col min="7" max="7" width="9.140625" style="24"/>
    <col min="8" max="8" width="23" style="24" bestFit="1" customWidth="1"/>
    <col min="9" max="16384" width="9.140625" style="24"/>
  </cols>
  <sheetData>
    <row r="1" spans="1:9">
      <c r="A1" s="199" t="s">
        <v>132</v>
      </c>
      <c r="B1" s="199" t="s">
        <v>18</v>
      </c>
      <c r="C1" s="199" t="s">
        <v>19</v>
      </c>
      <c r="D1" s="199" t="s">
        <v>20</v>
      </c>
      <c r="E1" s="199" t="s">
        <v>21</v>
      </c>
      <c r="F1" s="200" t="s">
        <v>22</v>
      </c>
      <c r="H1" s="24" t="s">
        <v>146</v>
      </c>
      <c r="I1" s="24">
        <f>COUNTIF(Personnel!A19:A24, "*market*")</f>
        <v>0</v>
      </c>
    </row>
    <row r="2" spans="1:9">
      <c r="A2" s="201" t="s">
        <v>30</v>
      </c>
      <c r="B2" s="202">
        <f>'Profit and loss'!$B2</f>
        <v>0</v>
      </c>
      <c r="C2" s="202">
        <f>'Profit and loss'!$C2</f>
        <v>0</v>
      </c>
      <c r="D2" s="202">
        <f>'Profit and loss'!$D2</f>
        <v>0</v>
      </c>
      <c r="E2" s="202">
        <f>'Profit and loss'!$E2</f>
        <v>0</v>
      </c>
      <c r="F2" s="203">
        <f>'Profit and loss'!$F2</f>
        <v>0</v>
      </c>
      <c r="H2" s="24" t="s">
        <v>147</v>
      </c>
      <c r="I2" s="24">
        <f>COUNTIF('Profit and loss'!A8:A18, "*market*")</f>
        <v>1</v>
      </c>
    </row>
    <row r="3" spans="1:9">
      <c r="A3" s="204" t="s">
        <v>133</v>
      </c>
      <c r="B3" s="205"/>
      <c r="C3" s="206"/>
      <c r="D3" s="206"/>
      <c r="E3" s="206"/>
      <c r="F3" s="207"/>
    </row>
    <row r="4" spans="1:9">
      <c r="A4" s="208"/>
      <c r="B4" s="209"/>
      <c r="C4" s="209"/>
      <c r="D4" s="209"/>
      <c r="E4" s="209"/>
      <c r="F4" s="210"/>
    </row>
    <row r="5" spans="1:9">
      <c r="A5" s="208"/>
      <c r="B5" s="209"/>
      <c r="C5" s="209"/>
      <c r="D5" s="209"/>
      <c r="E5" s="209"/>
      <c r="F5" s="210"/>
    </row>
    <row r="6" spans="1:9">
      <c r="A6" s="204" t="s">
        <v>134</v>
      </c>
      <c r="B6" s="205"/>
      <c r="C6" s="206"/>
      <c r="D6" s="206"/>
      <c r="E6" s="206"/>
      <c r="F6" s="207"/>
    </row>
    <row r="7" spans="1:9">
      <c r="A7" s="211" t="str">
        <f>'Profit and loss'!A9</f>
        <v>Marketing</v>
      </c>
      <c r="B7" s="211">
        <f>'Profit and loss'!B9</f>
        <v>0</v>
      </c>
      <c r="C7" s="211">
        <f>'Profit and loss'!C9</f>
        <v>0</v>
      </c>
      <c r="D7" s="211">
        <f>'Profit and loss'!D9</f>
        <v>0</v>
      </c>
      <c r="E7" s="211">
        <f>'Profit and loss'!E9</f>
        <v>0</v>
      </c>
      <c r="F7" s="212">
        <f>'Profit and loss'!F9</f>
        <v>0</v>
      </c>
    </row>
    <row r="8" spans="1:9">
      <c r="A8" s="213" t="s">
        <v>135</v>
      </c>
      <c r="B8" s="214">
        <f>SUM(B4:B7)</f>
        <v>0</v>
      </c>
      <c r="C8" s="214">
        <f>SUM(C4:C7)</f>
        <v>0</v>
      </c>
      <c r="D8" s="214">
        <f>SUM(D4:D7)</f>
        <v>0</v>
      </c>
      <c r="E8" s="214">
        <f>SUM(E4:E7)</f>
        <v>0</v>
      </c>
      <c r="F8" s="215">
        <f>SUM(F4:F7)</f>
        <v>0</v>
      </c>
    </row>
    <row r="9" spans="1:9">
      <c r="A9" s="216" t="s">
        <v>136</v>
      </c>
      <c r="B9" s="217">
        <f>IF(B2=0,0,B8/B2)</f>
        <v>0</v>
      </c>
      <c r="C9" s="217">
        <f>IF(C2=0,0,C8/C2)</f>
        <v>0</v>
      </c>
      <c r="D9" s="217">
        <f>IF(D2=0,0,D8/D2)</f>
        <v>0</v>
      </c>
      <c r="E9" s="217">
        <f>IF(E2=0,0,E8/E2)</f>
        <v>0</v>
      </c>
      <c r="F9" s="49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I13"/>
  <sheetViews>
    <sheetView zoomScale="150" zoomScaleNormal="150" workbookViewId="0">
      <selection activeCell="A8" sqref="A8"/>
    </sheetView>
  </sheetViews>
  <sheetFormatPr defaultRowHeight="12"/>
  <cols>
    <col min="1" max="1" width="25.85546875" style="42" bestFit="1" customWidth="1"/>
    <col min="2" max="6" width="14.42578125" style="24" customWidth="1"/>
    <col min="7" max="7" width="9.140625" style="24"/>
    <col min="8" max="8" width="15.85546875" style="24" bestFit="1" customWidth="1"/>
    <col min="9" max="16384" width="9.140625" style="24"/>
  </cols>
  <sheetData>
    <row r="1" spans="1:9">
      <c r="A1" s="50" t="s">
        <v>137</v>
      </c>
      <c r="B1" s="51" t="s">
        <v>66</v>
      </c>
      <c r="C1" s="51" t="s">
        <v>67</v>
      </c>
      <c r="D1" s="51" t="s">
        <v>68</v>
      </c>
      <c r="E1" s="51" t="s">
        <v>69</v>
      </c>
      <c r="F1" s="51" t="s">
        <v>70</v>
      </c>
      <c r="H1" s="24" t="s">
        <v>148</v>
      </c>
      <c r="I1" s="24">
        <f>COUNTIF('Profit and loss'!B8:B18, "&gt;0")</f>
        <v>0</v>
      </c>
    </row>
    <row r="2" spans="1:9">
      <c r="A2" s="52" t="s">
        <v>30</v>
      </c>
      <c r="B2" s="53">
        <f>'Profit and loss'!$B2</f>
        <v>0</v>
      </c>
      <c r="C2" s="53">
        <f>'Profit and loss'!$C2</f>
        <v>0</v>
      </c>
      <c r="D2" s="53">
        <f>'Profit and loss'!$D2</f>
        <v>0</v>
      </c>
      <c r="E2" s="53">
        <f>'Profit and loss'!$E2</f>
        <v>0</v>
      </c>
      <c r="F2" s="53">
        <f>'Profit and loss'!$F2</f>
        <v>0</v>
      </c>
    </row>
    <row r="3" spans="1:9">
      <c r="A3" s="34" t="s">
        <v>37</v>
      </c>
      <c r="B3" s="53">
        <f>'Profit and loss'!B23</f>
        <v>0</v>
      </c>
      <c r="C3" s="53">
        <f>'Profit and loss'!C23</f>
        <v>0</v>
      </c>
      <c r="D3" s="53">
        <f>'Profit and loss'!D23</f>
        <v>0</v>
      </c>
      <c r="E3" s="53">
        <f>'Profit and loss'!E23</f>
        <v>0</v>
      </c>
      <c r="F3" s="53">
        <f>'Profit and loss'!F23</f>
        <v>0</v>
      </c>
    </row>
    <row r="4" spans="1:9">
      <c r="A4" s="52" t="s">
        <v>138</v>
      </c>
      <c r="B4" s="43"/>
      <c r="C4" s="44"/>
      <c r="D4" s="44"/>
      <c r="E4" s="44"/>
      <c r="F4" s="45"/>
    </row>
    <row r="5" spans="1:9">
      <c r="A5" s="52" t="s">
        <v>139</v>
      </c>
      <c r="B5" s="54">
        <f>'Profit and loss'!B3</f>
        <v>0</v>
      </c>
      <c r="C5" s="54">
        <f>'Profit and loss'!C3</f>
        <v>0</v>
      </c>
      <c r="D5" s="54">
        <f>'Profit and loss'!D3</f>
        <v>0</v>
      </c>
      <c r="E5" s="54">
        <f>'Profit and loss'!E3</f>
        <v>0</v>
      </c>
      <c r="F5" s="54">
        <f>'Profit and loss'!F3</f>
        <v>0</v>
      </c>
    </row>
    <row r="6" spans="1:9">
      <c r="A6" s="34" t="s">
        <v>140</v>
      </c>
      <c r="B6" s="55">
        <f>IF(B12=0,0,B5/B12)</f>
        <v>0</v>
      </c>
      <c r="C6" s="55">
        <f>IF(C12=0,0,C5/C12)</f>
        <v>0</v>
      </c>
      <c r="D6" s="55">
        <f>IF(D12=0,0,D5/D12)</f>
        <v>0</v>
      </c>
      <c r="E6" s="55">
        <f>IF(E12=0,0,E5/E12)</f>
        <v>0</v>
      </c>
      <c r="F6" s="55">
        <f>IF(F12=0,0,F5/F12)</f>
        <v>0</v>
      </c>
    </row>
    <row r="7" spans="1:9">
      <c r="A7" s="52" t="s">
        <v>141</v>
      </c>
      <c r="B7" s="46"/>
      <c r="C7" s="47"/>
      <c r="D7" s="47"/>
      <c r="E7" s="47"/>
      <c r="F7" s="48"/>
    </row>
    <row r="8" spans="1:9">
      <c r="A8" s="56"/>
      <c r="B8" s="54"/>
      <c r="C8" s="54"/>
      <c r="D8" s="54"/>
      <c r="E8" s="54"/>
      <c r="F8" s="54"/>
    </row>
    <row r="9" spans="1:9">
      <c r="A9" s="57"/>
      <c r="B9" s="54"/>
      <c r="C9" s="54"/>
      <c r="D9" s="54"/>
      <c r="E9" s="54"/>
      <c r="F9" s="54"/>
    </row>
    <row r="10" spans="1:9">
      <c r="A10" s="52" t="s">
        <v>142</v>
      </c>
      <c r="B10" s="36">
        <f>SUM(B8:B9)</f>
        <v>0</v>
      </c>
      <c r="C10" s="58">
        <f>SUM(C8:C9)</f>
        <v>0</v>
      </c>
      <c r="D10" s="58">
        <f>SUM(D8:D9)</f>
        <v>0</v>
      </c>
      <c r="E10" s="58">
        <f>SUM(E8:E9)</f>
        <v>0</v>
      </c>
      <c r="F10" s="58">
        <f>SUM(F8:F9)</f>
        <v>0</v>
      </c>
    </row>
    <row r="11" spans="1:9">
      <c r="A11" s="34" t="s">
        <v>143</v>
      </c>
      <c r="B11" s="55">
        <f>IF(B12=0,0,B10/B12)</f>
        <v>0</v>
      </c>
      <c r="C11" s="55">
        <f t="shared" ref="C11:F11" si="0">IF(C12=0,0,C10/C12)</f>
        <v>0</v>
      </c>
      <c r="D11" s="55">
        <f t="shared" si="0"/>
        <v>0</v>
      </c>
      <c r="E11" s="55">
        <f t="shared" si="0"/>
        <v>0</v>
      </c>
      <c r="F11" s="55">
        <f t="shared" si="0"/>
        <v>0</v>
      </c>
    </row>
    <row r="12" spans="1:9">
      <c r="A12" s="52" t="s">
        <v>144</v>
      </c>
      <c r="B12" s="53">
        <f>B10+B5</f>
        <v>0</v>
      </c>
      <c r="C12" s="53">
        <f>C10+C5</f>
        <v>0</v>
      </c>
      <c r="D12" s="53">
        <f>D10+D5</f>
        <v>0</v>
      </c>
      <c r="E12" s="53">
        <f>E10+E5</f>
        <v>0</v>
      </c>
      <c r="F12" s="53">
        <f>F10+F5</f>
        <v>0</v>
      </c>
    </row>
    <row r="13" spans="1:9">
      <c r="A13" s="52" t="s">
        <v>145</v>
      </c>
      <c r="B13" s="49">
        <f>IF(B12=0,0,B3/B12)</f>
        <v>0</v>
      </c>
      <c r="C13" s="49">
        <f>IF(C12=0,0,C3/C12)</f>
        <v>0</v>
      </c>
      <c r="D13" s="49">
        <f>IF(D12=0,0,D3/D12)</f>
        <v>0</v>
      </c>
      <c r="E13" s="49">
        <f>IF(E12=0,0,E3/E12)</f>
        <v>0</v>
      </c>
      <c r="F13" s="49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499984740745262"/>
  </sheetPr>
  <dimension ref="A1:I12"/>
  <sheetViews>
    <sheetView showGridLines="0" zoomScale="150" zoomScaleNormal="150" workbookViewId="0">
      <selection activeCell="F2" sqref="F2"/>
    </sheetView>
  </sheetViews>
  <sheetFormatPr defaultRowHeight="12"/>
  <cols>
    <col min="1" max="1" width="20.28515625" style="24" bestFit="1" customWidth="1"/>
    <col min="2" max="2" width="19.140625" style="24" customWidth="1"/>
    <col min="3" max="3" width="16.28515625" style="24" customWidth="1"/>
    <col min="4" max="4" width="9.140625" style="24"/>
    <col min="5" max="5" width="21.42578125" style="24" bestFit="1" customWidth="1"/>
    <col min="6" max="6" width="15.5703125" style="24" bestFit="1" customWidth="1"/>
    <col min="7" max="7" width="14.42578125" style="24" bestFit="1" customWidth="1"/>
    <col min="8" max="16384" width="9.140625" style="24"/>
  </cols>
  <sheetData>
    <row r="1" spans="1:9" ht="15">
      <c r="A1" s="60" t="s">
        <v>154</v>
      </c>
      <c r="B1" s="61"/>
      <c r="C1" s="61"/>
      <c r="D1" s="59"/>
      <c r="E1" s="69" t="str">
        <f>"Year "&amp;(A3-1)&amp;" Ravenue"</f>
        <v>Year 2010 Ravenue</v>
      </c>
      <c r="F1" s="69" t="s">
        <v>158</v>
      </c>
      <c r="G1" s="69" t="s">
        <v>159</v>
      </c>
    </row>
    <row r="2" spans="1:9">
      <c r="A2" s="62" t="s">
        <v>155</v>
      </c>
      <c r="B2" s="63" t="s">
        <v>156</v>
      </c>
      <c r="C2" s="63" t="s">
        <v>157</v>
      </c>
      <c r="D2" s="59"/>
      <c r="E2" s="70">
        <f>F2/(100%+G2)</f>
        <v>0</v>
      </c>
      <c r="F2" s="71">
        <v>0</v>
      </c>
      <c r="G2" s="72">
        <v>0</v>
      </c>
      <c r="H2" s="59"/>
      <c r="I2" s="59"/>
    </row>
    <row r="3" spans="1:9">
      <c r="A3" s="64">
        <v>2011</v>
      </c>
      <c r="B3" s="65">
        <f>E$2*(100%+C3/100)</f>
        <v>0</v>
      </c>
      <c r="C3" s="66"/>
      <c r="D3" s="59"/>
      <c r="E3" s="59"/>
      <c r="F3" s="220"/>
      <c r="G3" s="219"/>
      <c r="H3" s="59"/>
      <c r="I3" s="59"/>
    </row>
    <row r="4" spans="1:9">
      <c r="A4" s="64">
        <v>2012</v>
      </c>
      <c r="B4" s="65">
        <f>B3*(100%+C4/100)</f>
        <v>0</v>
      </c>
      <c r="C4" s="66"/>
      <c r="D4" s="59"/>
      <c r="E4" s="59"/>
      <c r="F4" s="59"/>
      <c r="G4" s="59"/>
      <c r="H4" s="59"/>
      <c r="I4" s="59"/>
    </row>
    <row r="5" spans="1:9">
      <c r="A5" s="64">
        <v>2013</v>
      </c>
      <c r="B5" s="65">
        <f>B4*(100%+C5/100)</f>
        <v>0</v>
      </c>
      <c r="C5" s="66"/>
      <c r="D5" s="59"/>
      <c r="E5" s="59"/>
      <c r="F5" s="59"/>
      <c r="G5" s="59"/>
      <c r="H5" s="59"/>
      <c r="I5" s="59"/>
    </row>
    <row r="6" spans="1:9">
      <c r="A6" s="64">
        <v>2014</v>
      </c>
      <c r="B6" s="65">
        <f t="shared" ref="B6:B8" si="0">B5*(100%+C6/100)</f>
        <v>0</v>
      </c>
      <c r="C6" s="66"/>
      <c r="D6" s="59"/>
      <c r="E6" s="59"/>
      <c r="F6" s="59"/>
      <c r="G6" s="59"/>
      <c r="H6" s="59"/>
      <c r="I6" s="59"/>
    </row>
    <row r="7" spans="1:9">
      <c r="A7" s="64">
        <v>2015</v>
      </c>
      <c r="B7" s="65">
        <f t="shared" si="0"/>
        <v>0</v>
      </c>
      <c r="C7" s="66"/>
      <c r="D7" s="59"/>
      <c r="E7" s="59"/>
      <c r="F7" s="59"/>
      <c r="G7" s="59"/>
      <c r="H7" s="59"/>
      <c r="I7" s="59"/>
    </row>
    <row r="8" spans="1:9">
      <c r="A8" s="74">
        <v>2016</v>
      </c>
      <c r="B8" s="67">
        <f t="shared" si="0"/>
        <v>0</v>
      </c>
      <c r="C8" s="68"/>
      <c r="D8" s="59"/>
      <c r="E8" s="59"/>
      <c r="F8" s="59"/>
      <c r="G8" s="59"/>
      <c r="H8" s="59"/>
      <c r="I8" s="59"/>
    </row>
    <row r="9" spans="1:9">
      <c r="A9" s="59"/>
      <c r="B9" s="59"/>
      <c r="C9" s="59"/>
      <c r="D9" s="59"/>
      <c r="E9" s="59"/>
      <c r="F9" s="59"/>
      <c r="G9" s="59"/>
      <c r="H9" s="59"/>
      <c r="I9" s="59"/>
    </row>
    <row r="10" spans="1:9">
      <c r="A10" s="59"/>
      <c r="B10" s="59"/>
      <c r="C10" s="59"/>
      <c r="D10" s="59"/>
      <c r="E10" s="59"/>
      <c r="F10" s="59"/>
      <c r="G10" s="59"/>
      <c r="H10" s="59"/>
      <c r="I10" s="59"/>
    </row>
    <row r="11" spans="1:9">
      <c r="A11" s="59"/>
      <c r="B11" s="59"/>
      <c r="C11" s="59"/>
      <c r="D11" s="59"/>
      <c r="E11" s="59"/>
      <c r="F11" s="59"/>
      <c r="G11" s="59"/>
      <c r="H11" s="59"/>
      <c r="I11" s="59"/>
    </row>
    <row r="12" spans="1:9">
      <c r="A12" s="59"/>
      <c r="B12" s="59"/>
      <c r="C12" s="59"/>
      <c r="D12" s="59"/>
      <c r="E12" s="59"/>
      <c r="F12" s="59"/>
      <c r="G12" s="59"/>
      <c r="H12" s="59"/>
      <c r="I12" s="59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Start-up</vt:lpstr>
      <vt:lpstr>Personnel</vt:lpstr>
      <vt:lpstr>Sales forecast-vb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Ravenue Growth Snippet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sonevb</vt:lpstr>
      <vt:lpstr>sthree</vt:lpstr>
      <vt:lpstr>stwo</vt:lpstr>
      <vt:lpstr>stwovb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2017-08-17T22:22:38Z</dcterms:modified>
</cp:coreProperties>
</file>