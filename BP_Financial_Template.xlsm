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 plan\Git BP tables\"/>
    </mc:Choice>
  </mc:AlternateContent>
  <bookViews>
    <workbookView xWindow="0" yWindow="0" windowWidth="18870" windowHeight="6975" tabRatio="911"/>
  </bookViews>
  <sheets>
    <sheet name="Start-up" sheetId="1" r:id="rId1"/>
    <sheet name="Past Performance" sheetId="13" r:id="rId2"/>
    <sheet name="Personnel" sheetId="2" r:id="rId3"/>
    <sheet name="Sales forecast-vb" sheetId="12" r:id="rId4"/>
    <sheet name="Sales forecast" sheetId="6" r:id="rId5"/>
    <sheet name="Profit and loss" sheetId="3" r:id="rId6"/>
    <sheet name="Break-even" sheetId="5" r:id="rId7"/>
    <sheet name="Cash-flow" sheetId="7" r:id="rId8"/>
    <sheet name="Balance sheet" sheetId="4" r:id="rId9"/>
    <sheet name="Charts" sheetId="8" r:id="rId10"/>
    <sheet name="Feasibility" sheetId="9" r:id="rId11"/>
    <sheet name="Cost Benefit" sheetId="10" r:id="rId12"/>
    <sheet name="Ravenue Growth Snippet" sheetId="11" r:id="rId13"/>
  </sheets>
  <definedNames>
    <definedName name="Charts">Charts!$1:$1048576</definedName>
    <definedName name="cone">'Cost Benefit'!$10:$10</definedName>
    <definedName name="ctwo">'Cost Benefit'!$7:$7</definedName>
    <definedName name="fone">Feasibility!$6:$6</definedName>
    <definedName name="ftwo">Feasibility!$8:$8</definedName>
    <definedName name="one">Personnel!$8:$8</definedName>
    <definedName name="sfive">'Sales forecast'!$39:$39</definedName>
    <definedName name="sfour">'Sales forecast'!$32:$32</definedName>
    <definedName name="sone">'Sales forecast'!$9:$9</definedName>
    <definedName name="sonevb">'Sales forecast-vb'!$7:$7</definedName>
    <definedName name="sthree">'Sales forecast'!$24:$24</definedName>
    <definedName name="stwo">'Sales forecast'!$17:$17</definedName>
    <definedName name="stwovb">'Sales forecast-vb'!$13:$13</definedName>
    <definedName name="three">Personnel!$25:$25</definedName>
    <definedName name="toe">'Profit and loss'!$19:$19</definedName>
    <definedName name="two">Personnel!$17:$17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3" l="1"/>
  <c r="D24" i="3"/>
  <c r="E24" i="3"/>
  <c r="F24" i="3"/>
  <c r="B24" i="3"/>
  <c r="B31" i="13" l="1"/>
  <c r="B28" i="13"/>
  <c r="B30" i="13" s="1"/>
  <c r="B26" i="13"/>
  <c r="B24" i="13"/>
  <c r="B19" i="13"/>
  <c r="B18" i="13"/>
  <c r="B14" i="13"/>
  <c r="B4" i="13"/>
  <c r="H10" i="12"/>
  <c r="H11" i="12"/>
  <c r="H12" i="12"/>
  <c r="H9" i="12"/>
  <c r="A11" i="12" l="1"/>
  <c r="N5" i="12"/>
  <c r="I5" i="12"/>
  <c r="I11" i="12" s="1"/>
  <c r="J5" i="12" l="1"/>
  <c r="J11" i="12" s="1"/>
  <c r="O5" i="12"/>
  <c r="M8" i="6"/>
  <c r="M16" i="6" s="1"/>
  <c r="I8" i="6"/>
  <c r="J8" i="6" s="1"/>
  <c r="K8" i="6" s="1"/>
  <c r="C16" i="6"/>
  <c r="A16" i="6"/>
  <c r="A23" i="6"/>
  <c r="M31" i="6"/>
  <c r="C31" i="6"/>
  <c r="D31" i="6" s="1"/>
  <c r="A31" i="6"/>
  <c r="M38" i="6"/>
  <c r="A38" i="6"/>
  <c r="C23" i="2"/>
  <c r="D23" i="2" s="1"/>
  <c r="E23" i="2" s="1"/>
  <c r="F23" i="2" s="1"/>
  <c r="B23" i="2"/>
  <c r="A23" i="2"/>
  <c r="F15" i="2"/>
  <c r="E15" i="2"/>
  <c r="D15" i="2"/>
  <c r="C15" i="2"/>
  <c r="B15" i="2"/>
  <c r="A15" i="2"/>
  <c r="C6" i="2"/>
  <c r="D6" i="2" s="1"/>
  <c r="E6" i="2" s="1"/>
  <c r="F6" i="2" s="1"/>
  <c r="A24" i="2"/>
  <c r="B16" i="2"/>
  <c r="B24" i="2" s="1"/>
  <c r="A16" i="2"/>
  <c r="C7" i="2"/>
  <c r="D7" i="2" s="1"/>
  <c r="E7" i="2" s="1"/>
  <c r="F7" i="2" s="1"/>
  <c r="F16" i="2" s="1"/>
  <c r="K5" i="12" l="1"/>
  <c r="K11" i="12" s="1"/>
  <c r="P5" i="12"/>
  <c r="Q5" i="12"/>
  <c r="L5" i="12"/>
  <c r="L11" i="12" s="1"/>
  <c r="N8" i="6"/>
  <c r="N16" i="6" s="1"/>
  <c r="N31" i="6"/>
  <c r="D16" i="6"/>
  <c r="E16" i="6" s="1"/>
  <c r="P38" i="6" s="1"/>
  <c r="N38" i="6"/>
  <c r="O8" i="6"/>
  <c r="O16" i="6" s="1"/>
  <c r="L8" i="6"/>
  <c r="O38" i="6"/>
  <c r="F16" i="6"/>
  <c r="E31" i="6"/>
  <c r="P8" i="6" s="1"/>
  <c r="P16" i="6" s="1"/>
  <c r="C24" i="2"/>
  <c r="D24" i="2" s="1"/>
  <c r="E24" i="2" s="1"/>
  <c r="F24" i="2" s="1"/>
  <c r="D16" i="2"/>
  <c r="C16" i="2"/>
  <c r="E16" i="2"/>
  <c r="A12" i="12"/>
  <c r="N6" i="12"/>
  <c r="I6" i="12"/>
  <c r="N4" i="12"/>
  <c r="N3" i="12"/>
  <c r="A10" i="12"/>
  <c r="I4" i="12"/>
  <c r="I3" i="12"/>
  <c r="A9" i="12"/>
  <c r="J6" i="12" l="1"/>
  <c r="J12" i="12" s="1"/>
  <c r="I12" i="12"/>
  <c r="O6" i="12" s="1"/>
  <c r="J4" i="12"/>
  <c r="I10" i="12"/>
  <c r="O4" i="12" s="1"/>
  <c r="J3" i="12"/>
  <c r="I9" i="12"/>
  <c r="R5" i="12"/>
  <c r="O31" i="6"/>
  <c r="Q38" i="6"/>
  <c r="P31" i="6"/>
  <c r="F31" i="6"/>
  <c r="Q8" i="6" s="1"/>
  <c r="Q16" i="6" s="1"/>
  <c r="P6" i="12"/>
  <c r="K6" i="12"/>
  <c r="K12" i="12" s="1"/>
  <c r="O3" i="12"/>
  <c r="I3" i="6"/>
  <c r="J3" i="6" s="1"/>
  <c r="K3" i="6" s="1"/>
  <c r="L3" i="6" s="1"/>
  <c r="B11" i="1"/>
  <c r="A22" i="2"/>
  <c r="B14" i="2"/>
  <c r="B22" i="2" s="1"/>
  <c r="A14" i="2"/>
  <c r="C5" i="2"/>
  <c r="D5" i="2" s="1"/>
  <c r="E5" i="2" s="1"/>
  <c r="F5" i="2" s="1"/>
  <c r="F14" i="2" s="1"/>
  <c r="E1" i="11"/>
  <c r="E2" i="11"/>
  <c r="B3" i="11" s="1"/>
  <c r="B4" i="11" s="1"/>
  <c r="B5" i="11" s="1"/>
  <c r="B6" i="11" s="1"/>
  <c r="B7" i="11" s="1"/>
  <c r="B8" i="11" s="1"/>
  <c r="K4" i="12" l="1"/>
  <c r="J10" i="12"/>
  <c r="P4" i="12" s="1"/>
  <c r="K3" i="12"/>
  <c r="J9" i="12"/>
  <c r="P3" i="12"/>
  <c r="Q31" i="6"/>
  <c r="Q6" i="12"/>
  <c r="L6" i="12"/>
  <c r="L12" i="12" s="1"/>
  <c r="E14" i="2"/>
  <c r="C14" i="2"/>
  <c r="D14" i="2"/>
  <c r="C22" i="2"/>
  <c r="D22" i="2" s="1"/>
  <c r="E22" i="2" s="1"/>
  <c r="F22" i="2" s="1"/>
  <c r="L4" i="12" l="1"/>
  <c r="K10" i="12"/>
  <c r="Q4" i="12" s="1"/>
  <c r="L3" i="12"/>
  <c r="K9" i="12"/>
  <c r="Q3" i="12" s="1"/>
  <c r="R6" i="12"/>
  <c r="I2" i="9"/>
  <c r="L10" i="12" l="1"/>
  <c r="R4" i="12" s="1"/>
  <c r="L9" i="12"/>
  <c r="R3" i="12" s="1"/>
  <c r="B7" i="9"/>
  <c r="A7" i="9"/>
  <c r="A25" i="2"/>
  <c r="C4" i="2"/>
  <c r="D4" i="2" s="1"/>
  <c r="E4" i="2" s="1"/>
  <c r="F4" i="2" s="1"/>
  <c r="M34" i="6"/>
  <c r="M35" i="6"/>
  <c r="M36" i="6"/>
  <c r="M37" i="6"/>
  <c r="M33" i="6"/>
  <c r="M27" i="6"/>
  <c r="M28" i="6"/>
  <c r="M29" i="6"/>
  <c r="M30" i="6"/>
  <c r="M26" i="6"/>
  <c r="I4" i="6"/>
  <c r="J4" i="6" s="1"/>
  <c r="K4" i="6" s="1"/>
  <c r="L4" i="6" s="1"/>
  <c r="I5" i="6"/>
  <c r="J5" i="6" s="1"/>
  <c r="K5" i="6" s="1"/>
  <c r="L5" i="6" s="1"/>
  <c r="I6" i="6"/>
  <c r="J6" i="6" s="1"/>
  <c r="K6" i="6" s="1"/>
  <c r="L6" i="6" s="1"/>
  <c r="I7" i="6"/>
  <c r="J7" i="6" s="1"/>
  <c r="K7" i="6" s="1"/>
  <c r="L7" i="6" s="1"/>
  <c r="B11" i="2"/>
  <c r="B12" i="2"/>
  <c r="B13" i="2"/>
  <c r="C3" i="2"/>
  <c r="D3" i="2" s="1"/>
  <c r="E3" i="2" s="1"/>
  <c r="F3" i="2" s="1"/>
  <c r="C2" i="2"/>
  <c r="D2" i="2" s="1"/>
  <c r="E2" i="2" s="1"/>
  <c r="F2" i="2" s="1"/>
  <c r="C8" i="2" l="1"/>
  <c r="M7" i="6"/>
  <c r="M15" i="6" s="1"/>
  <c r="C15" i="6"/>
  <c r="A15" i="6"/>
  <c r="A22" i="6"/>
  <c r="C30" i="6"/>
  <c r="D30" i="6" s="1"/>
  <c r="A30" i="6"/>
  <c r="A37" i="6"/>
  <c r="M6" i="6"/>
  <c r="M14" i="6" s="1"/>
  <c r="C14" i="6"/>
  <c r="A14" i="6"/>
  <c r="A21" i="6"/>
  <c r="C29" i="6"/>
  <c r="A29" i="6"/>
  <c r="A36" i="6"/>
  <c r="M5" i="6"/>
  <c r="M13" i="6" s="1"/>
  <c r="C13" i="6"/>
  <c r="A13" i="6"/>
  <c r="A20" i="6"/>
  <c r="C28" i="6"/>
  <c r="D28" i="6" s="1"/>
  <c r="A28" i="6"/>
  <c r="A35" i="6"/>
  <c r="M4" i="6"/>
  <c r="M12" i="6" s="1"/>
  <c r="C12" i="6"/>
  <c r="A12" i="6"/>
  <c r="A19" i="6"/>
  <c r="C27" i="6"/>
  <c r="A27" i="6"/>
  <c r="A34" i="6"/>
  <c r="D12" i="6" l="1"/>
  <c r="N34" i="6"/>
  <c r="N27" i="6"/>
  <c r="D14" i="6"/>
  <c r="N36" i="6"/>
  <c r="N29" i="6"/>
  <c r="D13" i="6"/>
  <c r="N35" i="6"/>
  <c r="N28" i="6"/>
  <c r="D15" i="6"/>
  <c r="O7" i="6" s="1"/>
  <c r="O15" i="6" s="1"/>
  <c r="N37" i="6"/>
  <c r="N30" i="6"/>
  <c r="N7" i="6"/>
  <c r="N15" i="6" s="1"/>
  <c r="E30" i="6"/>
  <c r="N6" i="6"/>
  <c r="N14" i="6" s="1"/>
  <c r="D29" i="6"/>
  <c r="O5" i="6"/>
  <c r="O13" i="6" s="1"/>
  <c r="N5" i="6"/>
  <c r="N13" i="6" s="1"/>
  <c r="E13" i="6"/>
  <c r="E28" i="6"/>
  <c r="E12" i="6"/>
  <c r="N4" i="6"/>
  <c r="N12" i="6" s="1"/>
  <c r="D27" i="6"/>
  <c r="O4" i="6" s="1"/>
  <c r="O12" i="6" s="1"/>
  <c r="O6" i="6" l="1"/>
  <c r="O14" i="6" s="1"/>
  <c r="O37" i="6"/>
  <c r="O30" i="6"/>
  <c r="O36" i="6"/>
  <c r="O29" i="6"/>
  <c r="F12" i="6"/>
  <c r="P34" i="6"/>
  <c r="P35" i="6"/>
  <c r="P28" i="6"/>
  <c r="E14" i="6"/>
  <c r="F14" i="6" s="1"/>
  <c r="E15" i="6"/>
  <c r="P7" i="6" s="1"/>
  <c r="P15" i="6" s="1"/>
  <c r="O35" i="6"/>
  <c r="O28" i="6"/>
  <c r="O34" i="6"/>
  <c r="O27" i="6"/>
  <c r="F30" i="6"/>
  <c r="E29" i="6"/>
  <c r="P5" i="6"/>
  <c r="P13" i="6" s="1"/>
  <c r="F13" i="6"/>
  <c r="F28" i="6"/>
  <c r="E27" i="6"/>
  <c r="P4" i="6" s="1"/>
  <c r="P12" i="6" s="1"/>
  <c r="B8" i="9"/>
  <c r="Q36" i="6" l="1"/>
  <c r="P36" i="6"/>
  <c r="P29" i="6"/>
  <c r="Q35" i="6"/>
  <c r="Q28" i="6"/>
  <c r="P6" i="6"/>
  <c r="P14" i="6" s="1"/>
  <c r="P37" i="6"/>
  <c r="P30" i="6"/>
  <c r="F15" i="6"/>
  <c r="Q7" i="6" s="1"/>
  <c r="Q15" i="6" s="1"/>
  <c r="P27" i="6"/>
  <c r="Q34" i="6"/>
  <c r="F29" i="6"/>
  <c r="Q6" i="6" s="1"/>
  <c r="Q14" i="6" s="1"/>
  <c r="Q5" i="6"/>
  <c r="Q13" i="6" s="1"/>
  <c r="F27" i="6"/>
  <c r="Q4" i="6" s="1"/>
  <c r="Q12" i="6" s="1"/>
  <c r="Q27" i="6" l="1"/>
  <c r="Q29" i="6"/>
  <c r="Q37" i="6"/>
  <c r="Q30" i="6"/>
  <c r="M32" i="6" l="1"/>
  <c r="M39" i="6"/>
  <c r="B10" i="3"/>
  <c r="A20" i="2"/>
  <c r="A21" i="2"/>
  <c r="A13" i="2"/>
  <c r="A12" i="2"/>
  <c r="A19" i="2" l="1"/>
  <c r="I1" i="9" s="1"/>
  <c r="A11" i="2"/>
  <c r="C26" i="6" l="1"/>
  <c r="D26" i="6" s="1"/>
  <c r="E26" i="6" s="1"/>
  <c r="F26" i="6" s="1"/>
  <c r="C11" i="6"/>
  <c r="N33" i="6" l="1"/>
  <c r="N26" i="6"/>
  <c r="D11" i="6"/>
  <c r="B19" i="2"/>
  <c r="C19" i="2" s="1"/>
  <c r="D19" i="2" s="1"/>
  <c r="E19" i="2" s="1"/>
  <c r="F19" i="2" s="1"/>
  <c r="O33" i="6" l="1"/>
  <c r="O26" i="6"/>
  <c r="N39" i="6"/>
  <c r="N32" i="6"/>
  <c r="E11" i="6"/>
  <c r="O32" i="6"/>
  <c r="O39" i="6"/>
  <c r="C11" i="2"/>
  <c r="P33" i="6" l="1"/>
  <c r="P26" i="6"/>
  <c r="F11" i="6"/>
  <c r="D11" i="2"/>
  <c r="B8" i="2"/>
  <c r="B25" i="2" s="1"/>
  <c r="D8" i="2"/>
  <c r="E8" i="2"/>
  <c r="F8" i="2"/>
  <c r="Q33" i="6" l="1"/>
  <c r="Q39" i="6" s="1"/>
  <c r="Q26" i="6"/>
  <c r="Q32" i="6" s="1"/>
  <c r="P39" i="6"/>
  <c r="P32" i="6"/>
  <c r="E25" i="2"/>
  <c r="C25" i="2"/>
  <c r="F25" i="2"/>
  <c r="D25" i="2"/>
  <c r="E11" i="2"/>
  <c r="C15" i="3"/>
  <c r="C18" i="3"/>
  <c r="D18" i="3" s="1"/>
  <c r="C16" i="3"/>
  <c r="C12" i="3"/>
  <c r="C13" i="3"/>
  <c r="C14" i="3"/>
  <c r="D14" i="3" s="1"/>
  <c r="E14" i="3" s="1"/>
  <c r="F14" i="3" s="1"/>
  <c r="C11" i="3"/>
  <c r="E18" i="3" l="1"/>
  <c r="D15" i="3"/>
  <c r="D13" i="3"/>
  <c r="D12" i="3"/>
  <c r="D11" i="3"/>
  <c r="F11" i="2"/>
  <c r="F18" i="3" l="1"/>
  <c r="E15" i="3"/>
  <c r="E13" i="3"/>
  <c r="E12" i="3"/>
  <c r="E11" i="3"/>
  <c r="B8" i="4"/>
  <c r="B7" i="4"/>
  <c r="C7" i="4" s="1"/>
  <c r="F15" i="3" l="1"/>
  <c r="F13" i="3"/>
  <c r="F12" i="3"/>
  <c r="F11" i="3"/>
  <c r="B9" i="4"/>
  <c r="D7" i="4"/>
  <c r="E7" i="4" s="1"/>
  <c r="F7" i="4" l="1"/>
  <c r="M3" i="6"/>
  <c r="M11" i="6" s="1"/>
  <c r="C10" i="3" l="1"/>
  <c r="D16" i="3"/>
  <c r="C9" i="3"/>
  <c r="C7" i="9" s="1"/>
  <c r="A33" i="6"/>
  <c r="A26" i="6"/>
  <c r="A18" i="6"/>
  <c r="A11" i="6"/>
  <c r="E16" i="3" l="1"/>
  <c r="D9" i="3"/>
  <c r="D7" i="9" s="1"/>
  <c r="C8" i="9"/>
  <c r="N3" i="6"/>
  <c r="N11" i="6" s="1"/>
  <c r="D10" i="3"/>
  <c r="E10" i="3" s="1"/>
  <c r="F10" i="3" s="1"/>
  <c r="C8" i="4"/>
  <c r="F16" i="3" l="1"/>
  <c r="E9" i="3"/>
  <c r="E7" i="9" s="1"/>
  <c r="D8" i="9"/>
  <c r="O3" i="6"/>
  <c r="O11" i="6" s="1"/>
  <c r="D8" i="4"/>
  <c r="C9" i="4"/>
  <c r="P3" i="6"/>
  <c r="P11" i="6" s="1"/>
  <c r="F9" i="3" l="1"/>
  <c r="F7" i="9" s="1"/>
  <c r="E8" i="9"/>
  <c r="E8" i="4"/>
  <c r="D9" i="4"/>
  <c r="Q3" i="6"/>
  <c r="Q11" i="6" s="1"/>
  <c r="B17" i="1"/>
  <c r="B18" i="1" s="1"/>
  <c r="F8" i="9" l="1"/>
  <c r="F8" i="4"/>
  <c r="F9" i="4" s="1"/>
  <c r="E9" i="4"/>
  <c r="B12" i="4"/>
  <c r="C12" i="4" l="1"/>
  <c r="D12" i="4" l="1"/>
  <c r="E12" i="4" l="1"/>
  <c r="F12" i="4" l="1"/>
  <c r="C12" i="2" l="1"/>
  <c r="B20" i="2"/>
  <c r="C20" i="2" s="1"/>
  <c r="D20" i="2" s="1"/>
  <c r="E20" i="2" s="1"/>
  <c r="F20" i="2" s="1"/>
  <c r="D12" i="2" l="1"/>
  <c r="C13" i="2"/>
  <c r="B21" i="2"/>
  <c r="C21" i="2" s="1"/>
  <c r="D21" i="2" s="1"/>
  <c r="E21" i="2" s="1"/>
  <c r="F21" i="2" s="1"/>
  <c r="D13" i="2" l="1"/>
  <c r="C26" i="2"/>
  <c r="C8" i="3" s="1"/>
  <c r="E12" i="2"/>
  <c r="B26" i="2"/>
  <c r="B8" i="3" s="1"/>
  <c r="F12" i="2" l="1"/>
  <c r="E13" i="2"/>
  <c r="C17" i="3"/>
  <c r="D26" i="2"/>
  <c r="D8" i="3" s="1"/>
  <c r="B17" i="3"/>
  <c r="F13" i="2" l="1"/>
  <c r="C19" i="3"/>
  <c r="O7" i="12" s="1"/>
  <c r="C10" i="10"/>
  <c r="B10" i="10"/>
  <c r="I1" i="10"/>
  <c r="F26" i="2"/>
  <c r="F8" i="3" s="1"/>
  <c r="E26" i="2"/>
  <c r="E8" i="3" s="1"/>
  <c r="B19" i="3"/>
  <c r="N7" i="12" s="1"/>
  <c r="D17" i="3"/>
  <c r="B5" i="12" l="1"/>
  <c r="B11" i="12"/>
  <c r="C5" i="12"/>
  <c r="C11" i="12"/>
  <c r="B12" i="12"/>
  <c r="B27" i="3"/>
  <c r="B6" i="12"/>
  <c r="C27" i="3"/>
  <c r="C12" i="12"/>
  <c r="C6" i="12"/>
  <c r="C10" i="12"/>
  <c r="C9" i="12"/>
  <c r="C4" i="12"/>
  <c r="C3" i="12"/>
  <c r="M17" i="6"/>
  <c r="B8" i="6" s="1"/>
  <c r="N17" i="6"/>
  <c r="D19" i="3"/>
  <c r="P7" i="12" s="1"/>
  <c r="D10" i="10"/>
  <c r="E17" i="3"/>
  <c r="E10" i="10" s="1"/>
  <c r="F17" i="3"/>
  <c r="F10" i="10" s="1"/>
  <c r="D5" i="12" l="1"/>
  <c r="D11" i="12"/>
  <c r="D27" i="3"/>
  <c r="D12" i="12"/>
  <c r="D6" i="12"/>
  <c r="C8" i="6"/>
  <c r="B23" i="6"/>
  <c r="B38" i="6"/>
  <c r="B7" i="6"/>
  <c r="B22" i="6" s="1"/>
  <c r="D10" i="12"/>
  <c r="D9" i="12"/>
  <c r="D4" i="12"/>
  <c r="D3" i="12"/>
  <c r="C7" i="12"/>
  <c r="C13" i="12"/>
  <c r="B4" i="12"/>
  <c r="B3" i="12"/>
  <c r="B10" i="12"/>
  <c r="B9" i="12"/>
  <c r="B6" i="6"/>
  <c r="B36" i="6" s="1"/>
  <c r="B3" i="6"/>
  <c r="B18" i="6" s="1"/>
  <c r="B5" i="6"/>
  <c r="B20" i="6" s="1"/>
  <c r="B4" i="6"/>
  <c r="B19" i="6" s="1"/>
  <c r="C4" i="6"/>
  <c r="C34" i="6" s="1"/>
  <c r="C6" i="6"/>
  <c r="C36" i="6" s="1"/>
  <c r="C3" i="6"/>
  <c r="C5" i="6"/>
  <c r="C7" i="6"/>
  <c r="O17" i="6"/>
  <c r="F19" i="3"/>
  <c r="R7" i="12" s="1"/>
  <c r="E19" i="3"/>
  <c r="Q7" i="12" s="1"/>
  <c r="F5" i="12" l="1"/>
  <c r="F11" i="12"/>
  <c r="E5" i="12"/>
  <c r="E11" i="12"/>
  <c r="F27" i="3"/>
  <c r="F12" i="12"/>
  <c r="F6" i="12"/>
  <c r="E12" i="12"/>
  <c r="E27" i="3"/>
  <c r="E6" i="12"/>
  <c r="D8" i="6"/>
  <c r="C23" i="6"/>
  <c r="C38" i="6"/>
  <c r="B37" i="6"/>
  <c r="B35" i="6"/>
  <c r="D7" i="12"/>
  <c r="D13" i="12"/>
  <c r="B9" i="6"/>
  <c r="B33" i="6"/>
  <c r="B13" i="12"/>
  <c r="B7" i="12"/>
  <c r="B34" i="6"/>
  <c r="P17" i="6"/>
  <c r="E8" i="6" s="1"/>
  <c r="Q17" i="6"/>
  <c r="F8" i="6" s="1"/>
  <c r="B21" i="6"/>
  <c r="B24" i="6" s="1"/>
  <c r="B2" i="3" s="1"/>
  <c r="C19" i="6"/>
  <c r="C21" i="6"/>
  <c r="D5" i="6"/>
  <c r="D7" i="6"/>
  <c r="D4" i="6"/>
  <c r="D34" i="6" s="1"/>
  <c r="D6" i="6"/>
  <c r="D36" i="6" s="1"/>
  <c r="D3" i="6"/>
  <c r="C22" i="6"/>
  <c r="C37" i="6"/>
  <c r="C35" i="6"/>
  <c r="C20" i="6"/>
  <c r="C9" i="6"/>
  <c r="C18" i="6"/>
  <c r="C33" i="6"/>
  <c r="B16" i="5" l="1"/>
  <c r="B15" i="5"/>
  <c r="F7" i="6"/>
  <c r="F22" i="6" s="1"/>
  <c r="E23" i="6"/>
  <c r="E38" i="6"/>
  <c r="D38" i="6"/>
  <c r="D23" i="6"/>
  <c r="F23" i="6"/>
  <c r="F38" i="6"/>
  <c r="F5" i="6"/>
  <c r="F35" i="6" s="1"/>
  <c r="E4" i="6"/>
  <c r="E19" i="6" s="1"/>
  <c r="F3" i="6"/>
  <c r="F18" i="6" s="1"/>
  <c r="E3" i="6"/>
  <c r="E18" i="6" s="1"/>
  <c r="F6" i="6"/>
  <c r="F36" i="6" s="1"/>
  <c r="F10" i="12"/>
  <c r="F9" i="12"/>
  <c r="F4" i="12"/>
  <c r="F3" i="12"/>
  <c r="E7" i="6"/>
  <c r="E22" i="6" s="1"/>
  <c r="E6" i="6"/>
  <c r="E36" i="6" s="1"/>
  <c r="E10" i="12"/>
  <c r="E9" i="12"/>
  <c r="E4" i="12"/>
  <c r="E3" i="12"/>
  <c r="B39" i="6"/>
  <c r="B3" i="3" s="1"/>
  <c r="F4" i="6"/>
  <c r="F34" i="6" s="1"/>
  <c r="E5" i="6"/>
  <c r="E35" i="6" s="1"/>
  <c r="E21" i="6"/>
  <c r="D21" i="6"/>
  <c r="D37" i="6"/>
  <c r="D22" i="6"/>
  <c r="D19" i="6"/>
  <c r="D35" i="6"/>
  <c r="D20" i="6"/>
  <c r="C24" i="6"/>
  <c r="C39" i="6"/>
  <c r="C3" i="3" s="1"/>
  <c r="B6" i="5"/>
  <c r="F7" i="5" s="1"/>
  <c r="C4" i="7"/>
  <c r="B5" i="5"/>
  <c r="B7" i="5" s="1"/>
  <c r="D33" i="6"/>
  <c r="D9" i="6"/>
  <c r="D18" i="6"/>
  <c r="G9" i="5" l="1"/>
  <c r="G4" i="5"/>
  <c r="G5" i="5"/>
  <c r="G3" i="5"/>
  <c r="G11" i="5"/>
  <c r="G2" i="5"/>
  <c r="G10" i="5"/>
  <c r="G7" i="5"/>
  <c r="G6" i="5"/>
  <c r="G8" i="5"/>
  <c r="F37" i="6"/>
  <c r="F20" i="6"/>
  <c r="E34" i="6"/>
  <c r="F33" i="6"/>
  <c r="F4" i="5"/>
  <c r="F21" i="6"/>
  <c r="E33" i="6"/>
  <c r="B4" i="3"/>
  <c r="B5" i="3" s="1"/>
  <c r="B5" i="10"/>
  <c r="B12" i="10" s="1"/>
  <c r="B11" i="10" s="1"/>
  <c r="E37" i="6"/>
  <c r="F7" i="12"/>
  <c r="F13" i="12"/>
  <c r="F19" i="6"/>
  <c r="E13" i="12"/>
  <c r="E9" i="6"/>
  <c r="E20" i="6"/>
  <c r="E7" i="12"/>
  <c r="F9" i="6"/>
  <c r="C2" i="3"/>
  <c r="D9" i="7" s="1"/>
  <c r="C6" i="7"/>
  <c r="C9" i="7"/>
  <c r="D4" i="7"/>
  <c r="F10" i="5"/>
  <c r="D24" i="6"/>
  <c r="F8" i="5"/>
  <c r="F3" i="5"/>
  <c r="F6" i="5"/>
  <c r="F9" i="5"/>
  <c r="F11" i="5"/>
  <c r="F2" i="5"/>
  <c r="F5" i="5"/>
  <c r="B2" i="10"/>
  <c r="B2" i="9"/>
  <c r="B9" i="9" s="1"/>
  <c r="D39" i="6"/>
  <c r="D3" i="3" s="1"/>
  <c r="E5" i="5"/>
  <c r="E2" i="5"/>
  <c r="E4" i="5"/>
  <c r="E3" i="5"/>
  <c r="E9" i="5"/>
  <c r="E6" i="5"/>
  <c r="E11" i="5"/>
  <c r="B3" i="5"/>
  <c r="E10" i="5"/>
  <c r="E8" i="5"/>
  <c r="B2" i="5"/>
  <c r="E7" i="5"/>
  <c r="C4" i="3"/>
  <c r="C5" i="10"/>
  <c r="C12" i="10" s="1"/>
  <c r="B6" i="10" l="1"/>
  <c r="F39" i="6"/>
  <c r="E39" i="6"/>
  <c r="E24" i="6"/>
  <c r="E2" i="3" s="1"/>
  <c r="F9" i="7" s="1"/>
  <c r="F24" i="6"/>
  <c r="F2" i="3" s="1"/>
  <c r="F2" i="10" s="1"/>
  <c r="C2" i="10"/>
  <c r="C5" i="3"/>
  <c r="C20" i="3" s="1"/>
  <c r="C23" i="3" s="1"/>
  <c r="C2" i="9"/>
  <c r="C9" i="9" s="1"/>
  <c r="E3" i="3"/>
  <c r="E4" i="3" s="1"/>
  <c r="F3" i="3"/>
  <c r="F5" i="10" s="1"/>
  <c r="F12" i="10" s="1"/>
  <c r="E4" i="7"/>
  <c r="D2" i="3"/>
  <c r="E9" i="7" s="1"/>
  <c r="G9" i="7"/>
  <c r="C16" i="7"/>
  <c r="E6" i="7"/>
  <c r="D6" i="7"/>
  <c r="D16" i="7" s="1"/>
  <c r="E5" i="10"/>
  <c r="E12" i="10" s="1"/>
  <c r="E6" i="10" s="1"/>
  <c r="D11" i="5"/>
  <c r="D9" i="5"/>
  <c r="D7" i="5"/>
  <c r="D5" i="5"/>
  <c r="D3" i="5"/>
  <c r="D10" i="5"/>
  <c r="D8" i="5"/>
  <c r="D6" i="5"/>
  <c r="D4" i="5"/>
  <c r="D2" i="5"/>
  <c r="C6" i="10"/>
  <c r="C11" i="10"/>
  <c r="F4" i="7"/>
  <c r="B20" i="3"/>
  <c r="B21" i="3"/>
  <c r="B6" i="3"/>
  <c r="F2" i="9" l="1"/>
  <c r="F9" i="9" s="1"/>
  <c r="G4" i="7"/>
  <c r="G6" i="7" s="1"/>
  <c r="G16" i="7" s="1"/>
  <c r="C6" i="3"/>
  <c r="C21" i="3"/>
  <c r="D2" i="9"/>
  <c r="D9" i="9" s="1"/>
  <c r="F11" i="10"/>
  <c r="F6" i="10"/>
  <c r="F4" i="3"/>
  <c r="F5" i="3" s="1"/>
  <c r="F6" i="3" s="1"/>
  <c r="D2" i="10"/>
  <c r="E16" i="7"/>
  <c r="B23" i="3"/>
  <c r="B25" i="3" s="1"/>
  <c r="F6" i="7"/>
  <c r="F16" i="7" s="1"/>
  <c r="E11" i="10"/>
  <c r="D4" i="3"/>
  <c r="D5" i="3" s="1"/>
  <c r="D5" i="10"/>
  <c r="D12" i="10" s="1"/>
  <c r="H7" i="5"/>
  <c r="I7" i="5"/>
  <c r="J7" i="5" s="1"/>
  <c r="H8" i="5"/>
  <c r="I8" i="5"/>
  <c r="J8" i="5" s="1"/>
  <c r="I6" i="5"/>
  <c r="J6" i="5" s="1"/>
  <c r="H6" i="5"/>
  <c r="E5" i="3"/>
  <c r="E6" i="3" s="1"/>
  <c r="E2" i="10"/>
  <c r="E2" i="9"/>
  <c r="E9" i="9" s="1"/>
  <c r="I3" i="5"/>
  <c r="J3" i="5" s="1"/>
  <c r="H3" i="5"/>
  <c r="H4" i="5"/>
  <c r="I4" i="5"/>
  <c r="J4" i="5" s="1"/>
  <c r="I5" i="5"/>
  <c r="J5" i="5" s="1"/>
  <c r="H5" i="5"/>
  <c r="I2" i="5"/>
  <c r="J2" i="5" s="1"/>
  <c r="H2" i="5"/>
  <c r="C14" i="4"/>
  <c r="C19" i="7" l="1"/>
  <c r="C21" i="7" s="1"/>
  <c r="C31" i="7" s="1"/>
  <c r="C32" i="7" s="1"/>
  <c r="C33" i="7" s="1"/>
  <c r="B4" i="4" s="1"/>
  <c r="F20" i="3"/>
  <c r="F23" i="3" s="1"/>
  <c r="F21" i="3"/>
  <c r="B29" i="3"/>
  <c r="B28" i="3"/>
  <c r="C25" i="3"/>
  <c r="C3" i="10"/>
  <c r="C13" i="10" s="1"/>
  <c r="H9" i="5"/>
  <c r="I9" i="5"/>
  <c r="J9" i="5" s="1"/>
  <c r="D11" i="10"/>
  <c r="D6" i="10"/>
  <c r="B14" i="4"/>
  <c r="B3" i="10"/>
  <c r="B13" i="10" s="1"/>
  <c r="C29" i="3"/>
  <c r="C28" i="3"/>
  <c r="D19" i="7"/>
  <c r="D21" i="7" s="1"/>
  <c r="D31" i="7" s="1"/>
  <c r="D32" i="7" s="1"/>
  <c r="E21" i="3"/>
  <c r="E20" i="3"/>
  <c r="E23" i="3" s="1"/>
  <c r="D6" i="3"/>
  <c r="D20" i="3"/>
  <c r="D23" i="3" s="1"/>
  <c r="D21" i="3"/>
  <c r="D33" i="7" l="1"/>
  <c r="C4" i="4" s="1"/>
  <c r="F3" i="10"/>
  <c r="F13" i="10" s="1"/>
  <c r="B5" i="4"/>
  <c r="B10" i="4" s="1"/>
  <c r="F29" i="3"/>
  <c r="F28" i="3"/>
  <c r="G19" i="7"/>
  <c r="G21" i="7" s="1"/>
  <c r="G31" i="7" s="1"/>
  <c r="G32" i="7" s="1"/>
  <c r="I10" i="5"/>
  <c r="J10" i="5" s="1"/>
  <c r="H10" i="5"/>
  <c r="F14" i="4" l="1"/>
  <c r="F25" i="3"/>
  <c r="B16" i="4"/>
  <c r="B13" i="4"/>
  <c r="C5" i="4"/>
  <c r="C10" i="4" s="1"/>
  <c r="C16" i="4" s="1"/>
  <c r="H11" i="5"/>
  <c r="I11" i="5"/>
  <c r="J11" i="5" s="1"/>
  <c r="E28" i="3"/>
  <c r="F19" i="7"/>
  <c r="F21" i="7" s="1"/>
  <c r="F31" i="7" s="1"/>
  <c r="F32" i="7" s="1"/>
  <c r="E29" i="3"/>
  <c r="D25" i="3"/>
  <c r="D3" i="10"/>
  <c r="D13" i="10" s="1"/>
  <c r="D14" i="4"/>
  <c r="D28" i="3"/>
  <c r="D29" i="3"/>
  <c r="E19" i="7"/>
  <c r="E21" i="7" s="1"/>
  <c r="E31" i="7" s="1"/>
  <c r="E32" i="7" s="1"/>
  <c r="E33" i="7" s="1"/>
  <c r="C13" i="4" l="1"/>
  <c r="B15" i="4"/>
  <c r="F33" i="7"/>
  <c r="D4" i="4"/>
  <c r="E25" i="3"/>
  <c r="E3" i="10"/>
  <c r="E13" i="10" s="1"/>
  <c r="E14" i="4"/>
  <c r="C15" i="4" l="1"/>
  <c r="D13" i="4"/>
  <c r="D5" i="4"/>
  <c r="D10" i="4" s="1"/>
  <c r="D16" i="4" s="1"/>
  <c r="E4" i="4"/>
  <c r="G33" i="7"/>
  <c r="F4" i="4" s="1"/>
  <c r="E13" i="4" l="1"/>
  <c r="D15" i="4"/>
  <c r="F5" i="4"/>
  <c r="F10" i="4" s="1"/>
  <c r="F16" i="4" s="1"/>
  <c r="E5" i="4"/>
  <c r="E10" i="4" s="1"/>
  <c r="E16" i="4" s="1"/>
  <c r="E15" i="4" l="1"/>
  <c r="F13" i="4"/>
  <c r="F15" i="4" s="1"/>
</calcChain>
</file>

<file path=xl/sharedStrings.xml><?xml version="1.0" encoding="utf-8"?>
<sst xmlns="http://schemas.openxmlformats.org/spreadsheetml/2006/main" count="294" uniqueCount="185">
  <si>
    <t>Insurance</t>
  </si>
  <si>
    <t>Start-up Assets</t>
  </si>
  <si>
    <t>Total Assets</t>
  </si>
  <si>
    <t>Cash Required</t>
  </si>
  <si>
    <t>Total Requirements</t>
  </si>
  <si>
    <t>Start-up Expenses</t>
  </si>
  <si>
    <t>Long-term Assets</t>
  </si>
  <si>
    <t>Other Current Assets</t>
  </si>
  <si>
    <t>Requirements</t>
  </si>
  <si>
    <t>Total Start-up Expenses</t>
  </si>
  <si>
    <t>Start-up Inventory</t>
  </si>
  <si>
    <t>Computer</t>
  </si>
  <si>
    <t>Start-up</t>
  </si>
  <si>
    <t>Stationery etc.</t>
  </si>
  <si>
    <t>Legal</t>
  </si>
  <si>
    <t>Other</t>
  </si>
  <si>
    <t>Rent</t>
  </si>
  <si>
    <t>Personnel Plan</t>
  </si>
  <si>
    <t>Year 1</t>
  </si>
  <si>
    <t>Year 2</t>
  </si>
  <si>
    <t>Year 3</t>
  </si>
  <si>
    <t>Year 4</t>
  </si>
  <si>
    <t>Year 5</t>
  </si>
  <si>
    <t>Total Operating Expenses</t>
  </si>
  <si>
    <t>Utilities</t>
  </si>
  <si>
    <t>Operating Expenses</t>
  </si>
  <si>
    <t>Payroll Taxes</t>
  </si>
  <si>
    <t>EBITDA</t>
  </si>
  <si>
    <t>Depreciation</t>
  </si>
  <si>
    <t>Pro Forma Profit and Loss</t>
  </si>
  <si>
    <t>Sales</t>
  </si>
  <si>
    <t>Direct Cost of Sales</t>
  </si>
  <si>
    <t>Total Cost of Sales</t>
  </si>
  <si>
    <t>Gross Margin</t>
  </si>
  <si>
    <t>Gross Margin %</t>
  </si>
  <si>
    <t>Payroll</t>
  </si>
  <si>
    <t>Profit Before Interest and Taxes</t>
  </si>
  <si>
    <t>Net Profit</t>
  </si>
  <si>
    <t>Net Profit/Sales</t>
  </si>
  <si>
    <t>Net Worth</t>
  </si>
  <si>
    <t>Total Long-term Assets</t>
  </si>
  <si>
    <t>Accumulated Depreciation</t>
  </si>
  <si>
    <t>Total Capital</t>
  </si>
  <si>
    <t>Total Current Assets</t>
  </si>
  <si>
    <t>Assets</t>
  </si>
  <si>
    <t>Pro Forma Balance Sheet</t>
  </si>
  <si>
    <t>Current Assets</t>
  </si>
  <si>
    <t>Paid-in Capital</t>
  </si>
  <si>
    <t>Retained Earnings</t>
  </si>
  <si>
    <t>Earnings</t>
  </si>
  <si>
    <t>Average Per-Unit Revenue</t>
  </si>
  <si>
    <t>Monthly Revenue Break-even</t>
  </si>
  <si>
    <t>Average Per-Unit Variable Cost</t>
  </si>
  <si>
    <t>Monthly Units Break-even</t>
  </si>
  <si>
    <t>Estimated Monthly Fixed Cost</t>
  </si>
  <si>
    <t>Break-even Analysis</t>
  </si>
  <si>
    <t>Assumptions:</t>
  </si>
  <si>
    <t>Direct Unit Costs</t>
  </si>
  <si>
    <t>Unit Prices</t>
  </si>
  <si>
    <t>Sales Forecast</t>
  </si>
  <si>
    <t>Unit Sales</t>
  </si>
  <si>
    <t>Total Unit Sales</t>
  </si>
  <si>
    <t>Total Sales</t>
  </si>
  <si>
    <t>Subtotal Direct Cost of Sales</t>
  </si>
  <si>
    <t>Total Employees</t>
  </si>
  <si>
    <t>Marketing</t>
  </si>
  <si>
    <t xml:space="preserve"> Year 1</t>
  </si>
  <si>
    <t xml:space="preserve"> Year 2</t>
  </si>
  <si>
    <t xml:space="preserve"> Year 3</t>
  </si>
  <si>
    <t xml:space="preserve"> Year 4</t>
  </si>
  <si>
    <t xml:space="preserve"> Year 5</t>
  </si>
  <si>
    <t>Number of Employees per Position</t>
  </si>
  <si>
    <t>Designated Salary per Position</t>
  </si>
  <si>
    <t>Total Payroll Expenses</t>
  </si>
  <si>
    <t>Increase</t>
  </si>
  <si>
    <t>Net Profit/Sales I wish</t>
  </si>
  <si>
    <t>k</t>
  </si>
  <si>
    <t>Capital</t>
  </si>
  <si>
    <t>Pro Forma Cash Flow</t>
  </si>
  <si>
    <t>Cash Received</t>
  </si>
  <si>
    <t>Cash from Operations</t>
  </si>
  <si>
    <t>Cash Sales</t>
  </si>
  <si>
    <t>Cash from Receivables</t>
  </si>
  <si>
    <t>Subtotal Cash from Operations</t>
  </si>
  <si>
    <t>Additional Cash Received</t>
  </si>
  <si>
    <t>Non Operating (Other) Income</t>
  </si>
  <si>
    <t>Sales Tax, VAT, HST/GST Received</t>
  </si>
  <si>
    <t>New Current Borrowing</t>
  </si>
  <si>
    <t>New Other Liabilities (interest-free)</t>
  </si>
  <si>
    <t>New Long-term Liabilities</t>
  </si>
  <si>
    <t>Sales of Other Current Assets</t>
  </si>
  <si>
    <t>Sales of Long-term Assets</t>
  </si>
  <si>
    <t>New Investment Received</t>
  </si>
  <si>
    <t>Subtotal Cash Received</t>
  </si>
  <si>
    <t>Expenditures</t>
  </si>
  <si>
    <t>Expenditures from Operations</t>
  </si>
  <si>
    <t>Cash Spending</t>
  </si>
  <si>
    <t>Bill Payments</t>
  </si>
  <si>
    <t>Subtotal Spent on Operations</t>
  </si>
  <si>
    <t>Additional Cash Spent</t>
  </si>
  <si>
    <t>Non Operating (Other) Expense</t>
  </si>
  <si>
    <t>Sales Tax, VAT, HST/GST Paid Out</t>
  </si>
  <si>
    <t>Principal Repayment of Current Borrowing</t>
  </si>
  <si>
    <t>Other Liabilities Principal Repayment</t>
  </si>
  <si>
    <t>Long-term Liabilities Principal Repayment</t>
  </si>
  <si>
    <t>Purchase Other Current Assets</t>
  </si>
  <si>
    <t>Purchase Long-term Assets</t>
  </si>
  <si>
    <t>Dividends</t>
  </si>
  <si>
    <t>Subtotal Cash Spent</t>
  </si>
  <si>
    <t>Net Cash Flow</t>
  </si>
  <si>
    <t>Cash Balance</t>
  </si>
  <si>
    <t>Taxes Incurred</t>
  </si>
  <si>
    <t>Units</t>
  </si>
  <si>
    <t>APUR</t>
  </si>
  <si>
    <t>APUVC</t>
  </si>
  <si>
    <t>Revenue</t>
  </si>
  <si>
    <t>Fixed Costs</t>
  </si>
  <si>
    <t>Variable Costs</t>
  </si>
  <si>
    <t>Total Costs</t>
  </si>
  <si>
    <t>Cash and Other Current Assets</t>
  </si>
  <si>
    <t>Starting salaries</t>
  </si>
  <si>
    <t>Ratio</t>
  </si>
  <si>
    <t>Ratio Calculations</t>
  </si>
  <si>
    <t>Ratio Values</t>
  </si>
  <si>
    <t>Professional Fees</t>
  </si>
  <si>
    <t>Maintenance Expenses</t>
  </si>
  <si>
    <t>Contractors</t>
  </si>
  <si>
    <t>Net Income Taxes</t>
  </si>
  <si>
    <t>Total Taxes</t>
  </si>
  <si>
    <t>total</t>
  </si>
  <si>
    <t>I wish max calculations</t>
  </si>
  <si>
    <t>I wish max value</t>
  </si>
  <si>
    <t>Period</t>
  </si>
  <si>
    <t>Sales Personnel and Marketing Expenses</t>
  </si>
  <si>
    <t>Marketing Expenses</t>
  </si>
  <si>
    <t>Total Marketing and Sales Expenses</t>
  </si>
  <si>
    <t>Total Marketing and Sales Expenses as % of Sales</t>
  </si>
  <si>
    <t>Cost Benefit Analysis</t>
  </si>
  <si>
    <t>Expenses</t>
  </si>
  <si>
    <t>Direct Cost</t>
  </si>
  <si>
    <t>% Direct Cost/Total Expenses</t>
  </si>
  <si>
    <t>Indirect Cost</t>
  </si>
  <si>
    <t>Subtotal Indirect Cost</t>
  </si>
  <si>
    <t xml:space="preserve">% Indirect Cost/Total Expenses </t>
  </si>
  <si>
    <t>Total Expenses</t>
  </si>
  <si>
    <t>Net Profit/Total Expenses</t>
  </si>
  <si>
    <t>Marketing in Personnel</t>
  </si>
  <si>
    <t>Marketing in Profit and loss</t>
  </si>
  <si>
    <t>Number of OpEx-es</t>
  </si>
  <si>
    <t>Y1</t>
  </si>
  <si>
    <t>Y2</t>
  </si>
  <si>
    <t>Y3</t>
  </si>
  <si>
    <t>Y4</t>
  </si>
  <si>
    <t>Y5</t>
  </si>
  <si>
    <t>Revenue Outlook</t>
  </si>
  <si>
    <t>Year</t>
  </si>
  <si>
    <t>Ravenue $ million</t>
  </si>
  <si>
    <t>Growth %</t>
  </si>
  <si>
    <t>Ravenue First Year</t>
  </si>
  <si>
    <t>Growth First Year</t>
  </si>
  <si>
    <t>Ratio Sales</t>
  </si>
  <si>
    <r>
      <t xml:space="preserve">Ratio Cost </t>
    </r>
    <r>
      <rPr>
        <sz val="9"/>
        <color theme="0" tint="-0.499984740745262"/>
        <rFont val="Calibri"/>
        <family val="2"/>
        <scheme val="minor"/>
      </rPr>
      <t>&lt; Ratio Sales</t>
    </r>
  </si>
  <si>
    <t>Average Percent Variable Cost</t>
  </si>
  <si>
    <t>% from R.S.</t>
  </si>
  <si>
    <t>Inventory Turnover</t>
  </si>
  <si>
    <t>Accounts Receivable</t>
  </si>
  <si>
    <t>Inventory</t>
  </si>
  <si>
    <t>Receivables Turnover</t>
  </si>
  <si>
    <t>Long-term Liabilities</t>
  </si>
  <si>
    <t>Total Capital and Liabilities</t>
  </si>
  <si>
    <t>Payment Days</t>
  </si>
  <si>
    <t>Accounts Payable</t>
  </si>
  <si>
    <t>Total Current Liabilities</t>
  </si>
  <si>
    <t>Other Inputs</t>
  </si>
  <si>
    <t>Total Liabilities</t>
  </si>
  <si>
    <t>Balance Sheet</t>
  </si>
  <si>
    <t>Other Current Liabilities (interest free)</t>
  </si>
  <si>
    <t>Current Liabilities</t>
  </si>
  <si>
    <t>Cash</t>
  </si>
  <si>
    <t>Past Performance</t>
  </si>
  <si>
    <t>Collection Period (days)</t>
  </si>
  <si>
    <t>Current Borrowing</t>
  </si>
  <si>
    <t>Sales on Credit</t>
  </si>
  <si>
    <t>Last Year</t>
  </si>
  <si>
    <t xml:space="preserve">  Interest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</si>
</sst>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164" formatCode="[$$-540A]#,##0"/>
    <numFmt numFmtId="165" formatCode="&quot;$&quot;#,##0"/>
    <numFmt numFmtId="166" formatCode="&quot;$&quot;#,##0.00"/>
    <numFmt numFmtId="167" formatCode="#,##0.000"/>
    <numFmt numFmtId="168" formatCode="#,##0.0"/>
    <numFmt numFmtId="169" formatCode="0.0"/>
    <numFmt numFmtId="170" formatCode="0.00000%"/>
    <numFmt numFmtId="171" formatCode="0.00%_)"/>
    <numFmt numFmtId="172" formatCode="#,##0.00_);[Red]\-#,##0.00_)"/>
    <numFmt numFmtId="173" formatCode="0.0%_)"/>
    <numFmt numFmtId="174" formatCode="#,##0.0_)"/>
    <numFmt numFmtId="175" formatCode="#,##0_);[Red]#,##0_)"/>
    <numFmt numFmtId="176" formatCode="#,##0.00_);[Red]#,##0.00_)"/>
  </numFmts>
  <fonts count="21"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Arial"/>
      <family val="2"/>
    </font>
    <font>
      <b/>
      <sz val="9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b/>
      <sz val="9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color theme="5"/>
      <name val="Liberation Sans"/>
      <family val="2"/>
    </font>
    <font>
      <sz val="9"/>
      <color theme="1"/>
      <name val="Liberation Sans"/>
      <family val="2"/>
    </font>
    <font>
      <b/>
      <sz val="9"/>
      <color theme="1"/>
      <name val="Liberation Sans"/>
      <family val="2"/>
    </font>
    <font>
      <sz val="9"/>
      <color theme="0" tint="-0.499984740745262"/>
      <name val="Calibri"/>
      <family val="2"/>
      <scheme val="minor"/>
    </font>
    <font>
      <sz val="8"/>
      <color theme="1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465926084170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5"/>
      </bottom>
      <diagonal/>
    </border>
    <border>
      <left/>
      <right/>
      <top style="thin">
        <color theme="0" tint="-0.24994659260841701"/>
      </top>
      <bottom style="thin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5" fillId="0" borderId="0"/>
    <xf numFmtId="0" fontId="1" fillId="0" borderId="0"/>
    <xf numFmtId="0" fontId="1" fillId="0" borderId="0"/>
  </cellStyleXfs>
  <cellXfs count="280">
    <xf numFmtId="0" fontId="0" fillId="0" borderId="0" xfId="0"/>
    <xf numFmtId="0" fontId="2" fillId="0" borderId="0" xfId="0" applyFont="1" applyProtection="1">
      <protection locked="0"/>
    </xf>
    <xf numFmtId="167" fontId="3" fillId="0" borderId="0" xfId="0" applyNumberFormat="1" applyFont="1" applyAlignment="1" applyProtection="1">
      <alignment horizontal="right" vertical="center"/>
    </xf>
    <xf numFmtId="165" fontId="2" fillId="0" borderId="0" xfId="0" applyNumberFormat="1" applyFont="1" applyAlignment="1" applyProtection="1">
      <alignment horizontal="center" vertical="center"/>
    </xf>
    <xf numFmtId="164" fontId="2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/>
    <xf numFmtId="166" fontId="3" fillId="0" borderId="0" xfId="0" applyNumberFormat="1" applyFont="1" applyAlignment="1" applyProtection="1"/>
    <xf numFmtId="49" fontId="3" fillId="0" borderId="0" xfId="0" applyNumberFormat="1" applyFont="1" applyAlignment="1" applyProtection="1"/>
    <xf numFmtId="0" fontId="2" fillId="0" borderId="0" xfId="0" applyFont="1" applyProtection="1"/>
    <xf numFmtId="1" fontId="2" fillId="0" borderId="0" xfId="0" applyNumberFormat="1" applyFont="1" applyFill="1" applyAlignment="1" applyProtection="1">
      <alignment horizontal="right" vertical="center"/>
    </xf>
    <xf numFmtId="0" fontId="2" fillId="0" borderId="0" xfId="0" applyFont="1" applyAlignment="1" applyProtection="1">
      <alignment horizontal="center" vertical="center"/>
    </xf>
    <xf numFmtId="165" fontId="4" fillId="5" borderId="0" xfId="0" applyNumberFormat="1" applyFont="1" applyFill="1" applyAlignment="1" applyProtection="1">
      <alignment horizontal="right" vertical="center"/>
    </xf>
    <xf numFmtId="49" fontId="4" fillId="5" borderId="0" xfId="0" applyNumberFormat="1" applyFont="1" applyFill="1" applyAlignment="1" applyProtection="1">
      <alignment horizontal="right" vertical="center"/>
    </xf>
    <xf numFmtId="165" fontId="7" fillId="5" borderId="0" xfId="0" applyNumberFormat="1" applyFont="1" applyFill="1" applyAlignment="1" applyProtection="1">
      <alignment horizontal="right" vertical="center"/>
    </xf>
    <xf numFmtId="9" fontId="7" fillId="5" borderId="0" xfId="0" applyNumberFormat="1" applyFont="1" applyFill="1" applyAlignment="1" applyProtection="1">
      <alignment horizontal="right" vertical="center"/>
    </xf>
    <xf numFmtId="0" fontId="3" fillId="0" borderId="0" xfId="0" applyFont="1" applyProtection="1"/>
    <xf numFmtId="10" fontId="2" fillId="0" borderId="0" xfId="0" applyNumberFormat="1" applyFont="1" applyProtection="1"/>
    <xf numFmtId="9" fontId="2" fillId="5" borderId="0" xfId="0" applyNumberFormat="1" applyFont="1" applyFill="1" applyProtection="1"/>
    <xf numFmtId="9" fontId="3" fillId="5" borderId="0" xfId="2" applyNumberFormat="1" applyFont="1" applyFill="1" applyBorder="1" applyAlignment="1" applyProtection="1">
      <alignment horizontal="right" vertical="center"/>
    </xf>
    <xf numFmtId="166" fontId="2" fillId="0" borderId="0" xfId="0" applyNumberFormat="1" applyFont="1" applyProtection="1"/>
    <xf numFmtId="0" fontId="2" fillId="0" borderId="0" xfId="0" applyFont="1" applyFill="1" applyAlignment="1" applyProtection="1">
      <alignment horizontal="center"/>
    </xf>
    <xf numFmtId="10" fontId="2" fillId="0" borderId="0" xfId="0" applyNumberFormat="1" applyFont="1" applyFill="1" applyAlignment="1" applyProtection="1">
      <alignment horizontal="center"/>
    </xf>
    <xf numFmtId="0" fontId="2" fillId="10" borderId="0" xfId="0" applyFont="1" applyFill="1" applyAlignment="1" applyProtection="1">
      <alignment horizontal="center"/>
    </xf>
    <xf numFmtId="0" fontId="2" fillId="0" borderId="0" xfId="0" applyFont="1"/>
    <xf numFmtId="49" fontId="15" fillId="0" borderId="0" xfId="0" applyNumberFormat="1" applyFont="1" applyFill="1" applyAlignment="1" applyProtection="1"/>
    <xf numFmtId="1" fontId="2" fillId="0" borderId="0" xfId="0" applyNumberFormat="1" applyFont="1" applyProtection="1"/>
    <xf numFmtId="0" fontId="3" fillId="0" borderId="0" xfId="0" applyFont="1" applyFill="1" applyAlignment="1" applyProtection="1">
      <alignment horizontal="right"/>
    </xf>
    <xf numFmtId="0" fontId="3" fillId="0" borderId="0" xfId="0" applyFont="1" applyFill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right" vertical="center"/>
    </xf>
    <xf numFmtId="3" fontId="4" fillId="5" borderId="7" xfId="0" applyNumberFormat="1" applyFont="1" applyFill="1" applyBorder="1" applyAlignment="1" applyProtection="1">
      <alignment horizontal="right" vertical="center"/>
    </xf>
    <xf numFmtId="3" fontId="4" fillId="5" borderId="8" xfId="0" applyNumberFormat="1" applyFont="1" applyFill="1" applyBorder="1" applyAlignment="1" applyProtection="1">
      <alignment horizontal="right" vertical="center"/>
    </xf>
    <xf numFmtId="49" fontId="12" fillId="12" borderId="4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</xf>
    <xf numFmtId="6" fontId="12" fillId="14" borderId="4" xfId="0" applyNumberFormat="1" applyFont="1" applyFill="1" applyBorder="1" applyAlignment="1">
      <alignment horizontal="center" vertical="center"/>
    </xf>
    <xf numFmtId="0" fontId="13" fillId="0" borderId="0" xfId="0" applyFont="1" applyProtection="1"/>
    <xf numFmtId="49" fontId="13" fillId="0" borderId="0" xfId="0" applyNumberFormat="1" applyFont="1" applyProtection="1"/>
    <xf numFmtId="10" fontId="13" fillId="0" borderId="0" xfId="0" applyNumberFormat="1" applyFont="1" applyProtection="1"/>
    <xf numFmtId="49" fontId="2" fillId="0" borderId="0" xfId="0" applyNumberFormat="1" applyFont="1"/>
    <xf numFmtId="0" fontId="14" fillId="11" borderId="1" xfId="0" applyFont="1" applyFill="1" applyBorder="1" applyAlignment="1">
      <alignment vertical="center"/>
    </xf>
    <xf numFmtId="0" fontId="14" fillId="11" borderId="6" xfId="0" applyFont="1" applyFill="1" applyBorder="1" applyAlignment="1">
      <alignment vertical="center"/>
    </xf>
    <xf numFmtId="0" fontId="14" fillId="11" borderId="2" xfId="0" applyFont="1" applyFill="1" applyBorder="1" applyAlignment="1">
      <alignment vertical="center"/>
    </xf>
    <xf numFmtId="0" fontId="14" fillId="14" borderId="1" xfId="0" applyFont="1" applyFill="1" applyBorder="1" applyAlignment="1">
      <alignment vertical="center"/>
    </xf>
    <xf numFmtId="0" fontId="14" fillId="14" borderId="6" xfId="0" applyFont="1" applyFill="1" applyBorder="1" applyAlignment="1">
      <alignment vertical="center"/>
    </xf>
    <xf numFmtId="0" fontId="14" fillId="14" borderId="2" xfId="0" applyFont="1" applyFill="1" applyBorder="1" applyAlignment="1">
      <alignment vertical="center"/>
    </xf>
    <xf numFmtId="10" fontId="14" fillId="14" borderId="4" xfId="0" applyNumberFormat="1" applyFont="1" applyFill="1" applyBorder="1" applyAlignment="1">
      <alignment horizontal="center" vertical="center"/>
    </xf>
    <xf numFmtId="49" fontId="6" fillId="4" borderId="4" xfId="0" applyNumberFormat="1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49" fontId="14" fillId="14" borderId="4" xfId="0" applyNumberFormat="1" applyFont="1" applyFill="1" applyBorder="1" applyAlignment="1">
      <alignment horizontal="center" vertical="center"/>
    </xf>
    <xf numFmtId="6" fontId="3" fillId="14" borderId="4" xfId="7" applyNumberFormat="1" applyFont="1" applyFill="1" applyBorder="1" applyAlignment="1">
      <alignment horizontal="center" vertical="center"/>
    </xf>
    <xf numFmtId="6" fontId="3" fillId="0" borderId="4" xfId="7" applyNumberFormat="1" applyFont="1" applyBorder="1" applyAlignment="1">
      <alignment horizontal="center" vertical="center"/>
    </xf>
    <xf numFmtId="10" fontId="12" fillId="12" borderId="4" xfId="0" applyNumberFormat="1" applyFont="1" applyFill="1" applyBorder="1" applyAlignment="1">
      <alignment horizontal="center" vertical="center"/>
    </xf>
    <xf numFmtId="49" fontId="3" fillId="0" borderId="4" xfId="2" applyNumberFormat="1" applyFont="1" applyBorder="1" applyAlignment="1">
      <alignment horizontal="center" vertical="center"/>
    </xf>
    <xf numFmtId="49" fontId="12" fillId="0" borderId="4" xfId="2" applyNumberFormat="1" applyFont="1" applyBorder="1" applyAlignment="1">
      <alignment horizontal="center" vertical="center"/>
    </xf>
    <xf numFmtId="6" fontId="2" fillId="14" borderId="4" xfId="0" applyNumberFormat="1" applyFont="1" applyFill="1" applyBorder="1" applyAlignment="1">
      <alignment horizontal="center" vertical="center"/>
    </xf>
    <xf numFmtId="0" fontId="2" fillId="0" borderId="0" xfId="0" applyFont="1" applyBorder="1"/>
    <xf numFmtId="0" fontId="16" fillId="0" borderId="0" xfId="0" applyFont="1"/>
    <xf numFmtId="0" fontId="17" fillId="0" borderId="0" xfId="0" applyFont="1" applyBorder="1"/>
    <xf numFmtId="0" fontId="18" fillId="0" borderId="9" xfId="0" applyFont="1" applyBorder="1"/>
    <xf numFmtId="0" fontId="18" fillId="0" borderId="9" xfId="0" applyFont="1" applyBorder="1" applyAlignment="1">
      <alignment horizontal="right"/>
    </xf>
    <xf numFmtId="0" fontId="17" fillId="0" borderId="11" xfId="0" applyFont="1" applyBorder="1" applyAlignment="1">
      <alignment horizontal="left"/>
    </xf>
    <xf numFmtId="168" fontId="17" fillId="0" borderId="11" xfId="0" applyNumberFormat="1" applyFont="1" applyBorder="1" applyAlignment="1">
      <alignment horizontal="right" indent="1"/>
    </xf>
    <xf numFmtId="169" fontId="17" fillId="0" borderId="11" xfId="0" applyNumberFormat="1" applyFont="1" applyBorder="1" applyAlignment="1">
      <alignment horizontal="right"/>
    </xf>
    <xf numFmtId="168" fontId="17" fillId="0" borderId="12" xfId="0" applyNumberFormat="1" applyFont="1" applyBorder="1" applyAlignment="1">
      <alignment horizontal="right" indent="1"/>
    </xf>
    <xf numFmtId="169" fontId="17" fillId="0" borderId="10" xfId="0" applyNumberFormat="1" applyFont="1" applyBorder="1" applyAlignment="1">
      <alignment horizontal="right"/>
    </xf>
    <xf numFmtId="0" fontId="2" fillId="0" borderId="0" xfId="0" applyFont="1" applyBorder="1" applyAlignment="1">
      <alignment horizontal="right" vertical="center"/>
    </xf>
    <xf numFmtId="168" fontId="2" fillId="0" borderId="0" xfId="0" applyNumberFormat="1" applyFont="1" applyBorder="1" applyAlignment="1">
      <alignment vertical="center"/>
    </xf>
    <xf numFmtId="0" fontId="13" fillId="0" borderId="0" xfId="0" applyFont="1"/>
    <xf numFmtId="0" fontId="17" fillId="0" borderId="13" xfId="0" applyFont="1" applyBorder="1" applyAlignment="1">
      <alignment horizontal="left"/>
    </xf>
    <xf numFmtId="0" fontId="13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6" fontId="3" fillId="6" borderId="5" xfId="4" applyNumberFormat="1" applyFont="1" applyFill="1" applyBorder="1" applyAlignment="1">
      <alignment horizontal="center" vertical="center"/>
    </xf>
    <xf numFmtId="6" fontId="3" fillId="6" borderId="1" xfId="4" applyNumberFormat="1" applyFont="1" applyFill="1" applyBorder="1" applyAlignment="1">
      <alignment horizontal="center" vertical="center"/>
    </xf>
    <xf numFmtId="0" fontId="9" fillId="2" borderId="1" xfId="1" applyNumberFormat="1" applyFont="1" applyFill="1" applyBorder="1" applyAlignment="1"/>
    <xf numFmtId="0" fontId="10" fillId="2" borderId="2" xfId="1" applyNumberFormat="1" applyFont="1" applyFill="1" applyBorder="1" applyAlignment="1"/>
    <xf numFmtId="0" fontId="4" fillId="3" borderId="1" xfId="1" applyNumberFormat="1" applyFont="1" applyFill="1" applyBorder="1" applyAlignment="1"/>
    <xf numFmtId="0" fontId="4" fillId="3" borderId="2" xfId="1" applyNumberFormat="1" applyFont="1" applyFill="1" applyBorder="1" applyAlignment="1"/>
    <xf numFmtId="0" fontId="4" fillId="7" borderId="1" xfId="1" applyNumberFormat="1" applyFont="1" applyFill="1" applyBorder="1" applyAlignment="1">
      <alignment horizontal="left"/>
    </xf>
    <xf numFmtId="0" fontId="4" fillId="7" borderId="5" xfId="1" applyNumberFormat="1" applyFont="1" applyFill="1" applyBorder="1" applyAlignment="1">
      <alignment horizontal="left"/>
    </xf>
    <xf numFmtId="0" fontId="3" fillId="0" borderId="1" xfId="1" applyNumberFormat="1" applyFont="1" applyBorder="1" applyAlignment="1"/>
    <xf numFmtId="6" fontId="3" fillId="0" borderId="5" xfId="1" applyNumberFormat="1" applyFont="1" applyBorder="1" applyAlignment="1">
      <alignment horizontal="right"/>
    </xf>
    <xf numFmtId="0" fontId="4" fillId="0" borderId="1" xfId="1" applyNumberFormat="1" applyFont="1" applyBorder="1" applyAlignment="1"/>
    <xf numFmtId="6" fontId="4" fillId="0" borderId="5" xfId="1" applyNumberFormat="1" applyFont="1" applyBorder="1" applyAlignment="1">
      <alignment horizontal="right"/>
    </xf>
    <xf numFmtId="0" fontId="4" fillId="3" borderId="3" xfId="1" applyNumberFormat="1" applyFont="1" applyFill="1" applyBorder="1" applyAlignment="1"/>
    <xf numFmtId="6" fontId="4" fillId="3" borderId="4" xfId="1" applyNumberFormat="1" applyFont="1" applyFill="1" applyBorder="1" applyAlignment="1">
      <alignment horizontal="right"/>
    </xf>
    <xf numFmtId="49" fontId="9" fillId="2" borderId="1" xfId="0" applyNumberFormat="1" applyFont="1" applyFill="1" applyBorder="1" applyAlignment="1">
      <alignment horizontal="center" vertical="center"/>
    </xf>
    <xf numFmtId="49" fontId="9" fillId="2" borderId="5" xfId="0" applyNumberFormat="1" applyFont="1" applyFill="1" applyBorder="1" applyAlignment="1">
      <alignment horizontal="center" vertical="center"/>
    </xf>
    <xf numFmtId="49" fontId="4" fillId="6" borderId="1" xfId="2" applyNumberFormat="1" applyFont="1" applyFill="1" applyBorder="1" applyAlignment="1">
      <alignment horizontal="center" vertical="center"/>
    </xf>
    <xf numFmtId="5" fontId="3" fillId="6" borderId="1" xfId="2" applyNumberFormat="1" applyFont="1" applyFill="1" applyBorder="1" applyAlignment="1">
      <alignment horizontal="center" vertical="center"/>
    </xf>
    <xf numFmtId="5" fontId="3" fillId="6" borderId="5" xfId="2" applyNumberFormat="1" applyFont="1" applyFill="1" applyBorder="1" applyAlignment="1">
      <alignment horizontal="center" vertical="center"/>
    </xf>
    <xf numFmtId="49" fontId="3" fillId="0" borderId="1" xfId="2" applyNumberFormat="1" applyFont="1" applyBorder="1" applyAlignment="1">
      <alignment horizontal="center" vertical="center"/>
    </xf>
    <xf numFmtId="5" fontId="3" fillId="0" borderId="1" xfId="2" applyNumberFormat="1" applyFont="1" applyBorder="1" applyAlignment="1">
      <alignment horizontal="center" vertical="center"/>
    </xf>
    <xf numFmtId="5" fontId="3" fillId="0" borderId="5" xfId="2" applyNumberFormat="1" applyFont="1" applyBorder="1" applyAlignment="1">
      <alignment horizontal="center" vertical="center"/>
    </xf>
    <xf numFmtId="49" fontId="4" fillId="0" borderId="1" xfId="2" applyNumberFormat="1" applyFont="1" applyBorder="1" applyAlignment="1">
      <alignment horizontal="center" vertical="center"/>
    </xf>
    <xf numFmtId="10" fontId="3" fillId="0" borderId="1" xfId="2" applyNumberFormat="1" applyFont="1" applyBorder="1" applyAlignment="1">
      <alignment horizontal="center" vertical="center"/>
    </xf>
    <xf numFmtId="10" fontId="3" fillId="0" borderId="5" xfId="2" applyNumberFormat="1" applyFont="1" applyBorder="1" applyAlignment="1">
      <alignment horizontal="center" vertical="center"/>
    </xf>
    <xf numFmtId="49" fontId="3" fillId="6" borderId="1" xfId="2" applyNumberFormat="1" applyFont="1" applyFill="1" applyBorder="1" applyAlignment="1">
      <alignment horizontal="center" vertical="center"/>
    </xf>
    <xf numFmtId="49" fontId="3" fillId="6" borderId="6" xfId="2" applyNumberFormat="1" applyFont="1" applyFill="1" applyBorder="1" applyAlignment="1">
      <alignment horizontal="center" vertical="center"/>
    </xf>
    <xf numFmtId="49" fontId="3" fillId="6" borderId="2" xfId="2" applyNumberFormat="1" applyFont="1" applyFill="1" applyBorder="1" applyAlignment="1">
      <alignment horizontal="center" vertical="center"/>
    </xf>
    <xf numFmtId="6" fontId="3" fillId="0" borderId="1" xfId="2" applyNumberFormat="1" applyFont="1" applyBorder="1" applyAlignment="1">
      <alignment horizontal="center" vertical="center"/>
    </xf>
    <xf numFmtId="6" fontId="3" fillId="0" borderId="5" xfId="2" applyNumberFormat="1" applyFont="1" applyBorder="1" applyAlignment="1">
      <alignment horizontal="center" vertical="center"/>
    </xf>
    <xf numFmtId="6" fontId="3" fillId="6" borderId="1" xfId="2" applyNumberFormat="1" applyFont="1" applyFill="1" applyBorder="1" applyAlignment="1">
      <alignment horizontal="center" vertical="center"/>
    </xf>
    <xf numFmtId="6" fontId="3" fillId="6" borderId="5" xfId="2" applyNumberFormat="1" applyFont="1" applyFill="1" applyBorder="1" applyAlignment="1">
      <alignment horizontal="center" vertical="center"/>
    </xf>
    <xf numFmtId="49" fontId="4" fillId="7" borderId="3" xfId="2" applyNumberFormat="1" applyFont="1" applyFill="1" applyBorder="1" applyAlignment="1">
      <alignment horizontal="center" vertical="center"/>
    </xf>
    <xf numFmtId="10" fontId="3" fillId="7" borderId="3" xfId="2" applyNumberFormat="1" applyFont="1" applyFill="1" applyBorder="1" applyAlignment="1">
      <alignment horizontal="center" vertical="center"/>
    </xf>
    <xf numFmtId="10" fontId="3" fillId="7" borderId="4" xfId="2" applyNumberFormat="1" applyFont="1" applyFill="1" applyBorder="1" applyAlignment="1">
      <alignment horizontal="center" vertical="center"/>
    </xf>
    <xf numFmtId="49" fontId="8" fillId="8" borderId="1" xfId="0" applyNumberFormat="1" applyFont="1" applyFill="1" applyBorder="1"/>
    <xf numFmtId="10" fontId="8" fillId="8" borderId="1" xfId="0" applyNumberFormat="1" applyFont="1" applyFill="1" applyBorder="1"/>
    <xf numFmtId="49" fontId="8" fillId="8" borderId="1" xfId="0" applyNumberFormat="1" applyFont="1" applyFill="1" applyBorder="1" applyAlignment="1">
      <alignment horizontal="center" vertical="center"/>
    </xf>
    <xf numFmtId="49" fontId="8" fillId="8" borderId="5" xfId="0" applyNumberFormat="1" applyFont="1" applyFill="1" applyBorder="1" applyAlignment="1">
      <alignment horizontal="center" vertical="center"/>
    </xf>
    <xf numFmtId="49" fontId="7" fillId="6" borderId="1" xfId="0" applyNumberFormat="1" applyFont="1" applyFill="1" applyBorder="1"/>
    <xf numFmtId="10" fontId="13" fillId="6" borderId="1" xfId="0" applyNumberFormat="1" applyFont="1" applyFill="1" applyBorder="1"/>
    <xf numFmtId="0" fontId="13" fillId="6" borderId="6" xfId="0" applyFont="1" applyFill="1" applyBorder="1"/>
    <xf numFmtId="0" fontId="13" fillId="6" borderId="2" xfId="0" applyFont="1" applyFill="1" applyBorder="1"/>
    <xf numFmtId="49" fontId="13" fillId="0" borderId="1" xfId="0" applyNumberFormat="1" applyFont="1" applyBorder="1"/>
    <xf numFmtId="10" fontId="13" fillId="0" borderId="1" xfId="0" applyNumberFormat="1" applyFont="1" applyBorder="1"/>
    <xf numFmtId="5" fontId="13" fillId="0" borderId="1" xfId="0" applyNumberFormat="1" applyFont="1" applyBorder="1"/>
    <xf numFmtId="5" fontId="13" fillId="0" borderId="6" xfId="0" applyNumberFormat="1" applyFont="1" applyBorder="1"/>
    <xf numFmtId="5" fontId="13" fillId="0" borderId="2" xfId="0" applyNumberFormat="1" applyFont="1" applyBorder="1"/>
    <xf numFmtId="5" fontId="13" fillId="0" borderId="5" xfId="0" applyNumberFormat="1" applyFont="1" applyBorder="1"/>
    <xf numFmtId="49" fontId="7" fillId="0" borderId="1" xfId="0" applyNumberFormat="1" applyFont="1" applyBorder="1"/>
    <xf numFmtId="10" fontId="13" fillId="0" borderId="1" xfId="0" applyNumberFormat="1" applyFont="1" applyBorder="1" applyAlignment="1">
      <alignment horizontal="right"/>
    </xf>
    <xf numFmtId="5" fontId="13" fillId="6" borderId="1" xfId="0" applyNumberFormat="1" applyFont="1" applyFill="1" applyBorder="1"/>
    <xf numFmtId="5" fontId="13" fillId="6" borderId="5" xfId="0" applyNumberFormat="1" applyFont="1" applyFill="1" applyBorder="1"/>
    <xf numFmtId="49" fontId="7" fillId="7" borderId="3" xfId="0" applyNumberFormat="1" applyFont="1" applyFill="1" applyBorder="1"/>
    <xf numFmtId="10" fontId="13" fillId="7" borderId="3" xfId="0" applyNumberFormat="1" applyFont="1" applyFill="1" applyBorder="1"/>
    <xf numFmtId="5" fontId="13" fillId="7" borderId="3" xfId="0" applyNumberFormat="1" applyFont="1" applyFill="1" applyBorder="1"/>
    <xf numFmtId="5" fontId="13" fillId="7" borderId="4" xfId="0" applyNumberFormat="1" applyFont="1" applyFill="1" applyBorder="1"/>
    <xf numFmtId="0" fontId="9" fillId="2" borderId="1" xfId="3" applyNumberFormat="1" applyFont="1" applyFill="1" applyBorder="1" applyAlignment="1">
      <alignment horizontal="center" vertical="center"/>
    </xf>
    <xf numFmtId="1" fontId="9" fillId="2" borderId="1" xfId="3" applyNumberFormat="1" applyFont="1" applyFill="1" applyBorder="1" applyAlignment="1">
      <alignment horizontal="center" vertical="center"/>
    </xf>
    <xf numFmtId="1" fontId="9" fillId="2" borderId="5" xfId="3" applyNumberFormat="1" applyFont="1" applyFill="1" applyBorder="1" applyAlignment="1">
      <alignment horizontal="center" vertical="center"/>
    </xf>
    <xf numFmtId="0" fontId="4" fillId="3" borderId="1" xfId="3" applyNumberFormat="1" applyFont="1" applyFill="1" applyBorder="1" applyAlignment="1">
      <alignment horizontal="center" vertical="center"/>
    </xf>
    <xf numFmtId="1" fontId="4" fillId="3" borderId="1" xfId="3" applyNumberFormat="1" applyFont="1" applyFill="1" applyBorder="1" applyAlignment="1">
      <alignment horizontal="center" vertical="center"/>
    </xf>
    <xf numFmtId="1" fontId="4" fillId="3" borderId="6" xfId="3" applyNumberFormat="1" applyFont="1" applyFill="1" applyBorder="1" applyAlignment="1">
      <alignment horizontal="center" vertical="center"/>
    </xf>
    <xf numFmtId="1" fontId="4" fillId="3" borderId="2" xfId="3" applyNumberFormat="1" applyFont="1" applyFill="1" applyBorder="1" applyAlignment="1">
      <alignment horizontal="center" vertical="center"/>
    </xf>
    <xf numFmtId="0" fontId="4" fillId="0" borderId="1" xfId="3" applyNumberFormat="1" applyFont="1" applyBorder="1" applyAlignment="1">
      <alignment horizontal="center" vertical="center"/>
    </xf>
    <xf numFmtId="1" fontId="3" fillId="0" borderId="1" xfId="3" applyNumberFormat="1" applyFont="1" applyBorder="1" applyAlignment="1">
      <alignment horizontal="center" vertical="center"/>
    </xf>
    <xf numFmtId="1" fontId="3" fillId="0" borderId="6" xfId="3" applyNumberFormat="1" applyFont="1" applyBorder="1" applyAlignment="1">
      <alignment horizontal="center" vertical="center"/>
    </xf>
    <xf numFmtId="1" fontId="3" fillId="0" borderId="2" xfId="3" applyNumberFormat="1" applyFont="1" applyBorder="1" applyAlignment="1">
      <alignment horizontal="center" vertical="center"/>
    </xf>
    <xf numFmtId="0" fontId="3" fillId="0" borderId="1" xfId="3" applyNumberFormat="1" applyFont="1" applyBorder="1" applyAlignment="1">
      <alignment horizontal="center" vertical="center"/>
    </xf>
    <xf numFmtId="5" fontId="3" fillId="0" borderId="1" xfId="3" applyNumberFormat="1" applyFont="1" applyBorder="1" applyAlignment="1">
      <alignment horizontal="center" vertical="center"/>
    </xf>
    <xf numFmtId="5" fontId="3" fillId="0" borderId="5" xfId="3" applyNumberFormat="1" applyFont="1" applyBorder="1" applyAlignment="1">
      <alignment horizontal="center" vertical="center"/>
    </xf>
    <xf numFmtId="1" fontId="3" fillId="6" borderId="1" xfId="3" applyNumberFormat="1" applyFont="1" applyFill="1" applyBorder="1" applyAlignment="1">
      <alignment horizontal="center" vertical="center"/>
    </xf>
    <xf numFmtId="1" fontId="3" fillId="6" borderId="5" xfId="3" applyNumberFormat="1" applyFont="1" applyFill="1" applyBorder="1" applyAlignment="1">
      <alignment horizontal="center" vertical="center"/>
    </xf>
    <xf numFmtId="0" fontId="4" fillId="6" borderId="3" xfId="3" applyNumberFormat="1" applyFont="1" applyFill="1" applyBorder="1" applyAlignment="1">
      <alignment horizontal="center" vertical="center"/>
    </xf>
    <xf numFmtId="5" fontId="3" fillId="6" borderId="3" xfId="3" applyNumberFormat="1" applyFont="1" applyFill="1" applyBorder="1" applyAlignment="1">
      <alignment horizontal="center" vertical="center"/>
    </xf>
    <xf numFmtId="5" fontId="3" fillId="6" borderId="4" xfId="3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5" xfId="0" applyNumberFormat="1" applyFont="1" applyFill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3" fontId="12" fillId="0" borderId="1" xfId="0" applyNumberFormat="1" applyFont="1" applyBorder="1" applyAlignment="1">
      <alignment horizontal="center" vertical="center"/>
    </xf>
    <xf numFmtId="3" fontId="12" fillId="0" borderId="5" xfId="0" applyNumberFormat="1" applyFont="1" applyBorder="1" applyAlignment="1">
      <alignment horizontal="center" vertical="center"/>
    </xf>
    <xf numFmtId="49" fontId="7" fillId="7" borderId="3" xfId="0" applyNumberFormat="1" applyFont="1" applyFill="1" applyBorder="1" applyAlignment="1">
      <alignment horizontal="center" vertical="center"/>
    </xf>
    <xf numFmtId="3" fontId="7" fillId="7" borderId="3" xfId="0" applyNumberFormat="1" applyFont="1" applyFill="1" applyBorder="1" applyAlignment="1">
      <alignment horizontal="center" vertical="center"/>
    </xf>
    <xf numFmtId="3" fontId="7" fillId="7" borderId="4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3" fontId="7" fillId="0" borderId="1" xfId="0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49" fontId="7" fillId="6" borderId="3" xfId="0" applyNumberFormat="1" applyFont="1" applyFill="1" applyBorder="1" applyAlignment="1">
      <alignment horizontal="center" vertical="center"/>
    </xf>
    <xf numFmtId="164" fontId="2" fillId="6" borderId="3" xfId="0" applyNumberFormat="1" applyFont="1" applyFill="1" applyBorder="1" applyAlignment="1">
      <alignment horizontal="center" vertical="center"/>
    </xf>
    <xf numFmtId="164" fontId="2" fillId="6" borderId="4" xfId="0" applyNumberFormat="1" applyFont="1" applyFill="1" applyBorder="1" applyAlignment="1">
      <alignment horizontal="center" vertical="center"/>
    </xf>
    <xf numFmtId="49" fontId="8" fillId="2" borderId="1" xfId="4" applyNumberFormat="1" applyFont="1" applyFill="1" applyBorder="1" applyAlignment="1">
      <alignment horizontal="center" vertical="center"/>
    </xf>
    <xf numFmtId="49" fontId="8" fillId="2" borderId="5" xfId="4" applyNumberFormat="1" applyFont="1" applyFill="1" applyBorder="1" applyAlignment="1">
      <alignment horizontal="center" vertical="center"/>
    </xf>
    <xf numFmtId="49" fontId="4" fillId="3" borderId="1" xfId="4" applyNumberFormat="1" applyFont="1" applyFill="1" applyBorder="1" applyAlignment="1">
      <alignment horizontal="center" vertical="center"/>
    </xf>
    <xf numFmtId="49" fontId="3" fillId="3" borderId="1" xfId="4" applyNumberFormat="1" applyFont="1" applyFill="1" applyBorder="1" applyAlignment="1">
      <alignment horizontal="center" vertical="center"/>
    </xf>
    <xf numFmtId="49" fontId="3" fillId="3" borderId="6" xfId="4" applyNumberFormat="1" applyFont="1" applyFill="1" applyBorder="1" applyAlignment="1">
      <alignment horizontal="center" vertical="center"/>
    </xf>
    <xf numFmtId="49" fontId="3" fillId="3" borderId="2" xfId="4" applyNumberFormat="1" applyFont="1" applyFill="1" applyBorder="1" applyAlignment="1">
      <alignment horizontal="center" vertical="center"/>
    </xf>
    <xf numFmtId="49" fontId="3" fillId="0" borderId="1" xfId="4" applyNumberFormat="1" applyFont="1" applyBorder="1" applyAlignment="1">
      <alignment horizontal="center" vertical="center"/>
    </xf>
    <xf numFmtId="6" fontId="3" fillId="0" borderId="1" xfId="4" applyNumberFormat="1" applyFont="1" applyBorder="1" applyAlignment="1">
      <alignment horizontal="center" vertical="center"/>
    </xf>
    <xf numFmtId="6" fontId="3" fillId="0" borderId="5" xfId="4" applyNumberFormat="1" applyFont="1" applyBorder="1" applyAlignment="1">
      <alignment horizontal="center" vertical="center"/>
    </xf>
    <xf numFmtId="49" fontId="4" fillId="0" borderId="1" xfId="4" applyNumberFormat="1" applyFont="1" applyBorder="1" applyAlignment="1">
      <alignment horizontal="center" vertical="center"/>
    </xf>
    <xf numFmtId="49" fontId="4" fillId="6" borderId="1" xfId="4" applyNumberFormat="1" applyFont="1" applyFill="1" applyBorder="1" applyAlignment="1">
      <alignment horizontal="center" vertical="center"/>
    </xf>
    <xf numFmtId="6" fontId="4" fillId="6" borderId="1" xfId="4" applyNumberFormat="1" applyFont="1" applyFill="1" applyBorder="1" applyAlignment="1">
      <alignment horizontal="center" vertical="center"/>
    </xf>
    <xf numFmtId="6" fontId="4" fillId="6" borderId="6" xfId="4" applyNumberFormat="1" applyFont="1" applyFill="1" applyBorder="1" applyAlignment="1">
      <alignment horizontal="center" vertical="center"/>
    </xf>
    <xf numFmtId="6" fontId="4" fillId="6" borderId="2" xfId="4" applyNumberFormat="1" applyFont="1" applyFill="1" applyBorder="1" applyAlignment="1">
      <alignment horizontal="center" vertical="center"/>
    </xf>
    <xf numFmtId="49" fontId="4" fillId="6" borderId="3" xfId="4" applyNumberFormat="1" applyFont="1" applyFill="1" applyBorder="1" applyAlignment="1">
      <alignment horizontal="center" vertical="center"/>
    </xf>
    <xf numFmtId="6" fontId="3" fillId="6" borderId="3" xfId="4" applyNumberFormat="1" applyFont="1" applyFill="1" applyBorder="1" applyAlignment="1">
      <alignment horizontal="center" vertical="center"/>
    </xf>
    <xf numFmtId="6" fontId="3" fillId="6" borderId="4" xfId="4" applyNumberFormat="1" applyFont="1" applyFill="1" applyBorder="1" applyAlignment="1">
      <alignment horizontal="center" vertical="center"/>
    </xf>
    <xf numFmtId="38" fontId="3" fillId="0" borderId="1" xfId="4" applyNumberFormat="1" applyFont="1" applyBorder="1" applyAlignment="1">
      <alignment horizontal="center" vertical="center"/>
    </xf>
    <xf numFmtId="38" fontId="3" fillId="0" borderId="5" xfId="4" applyNumberFormat="1" applyFont="1" applyBorder="1" applyAlignment="1">
      <alignment horizontal="center" vertical="center"/>
    </xf>
    <xf numFmtId="1" fontId="3" fillId="6" borderId="1" xfId="4" applyNumberFormat="1" applyFont="1" applyFill="1" applyBorder="1" applyAlignment="1">
      <alignment horizontal="center" vertical="center"/>
    </xf>
    <xf numFmtId="1" fontId="3" fillId="6" borderId="5" xfId="4" applyNumberFormat="1" applyFont="1" applyFill="1" applyBorder="1" applyAlignment="1">
      <alignment horizontal="center" vertical="center"/>
    </xf>
    <xf numFmtId="0" fontId="3" fillId="0" borderId="1" xfId="4" applyNumberFormat="1" applyFont="1" applyBorder="1" applyAlignment="1">
      <alignment horizontal="center" vertical="center"/>
    </xf>
    <xf numFmtId="6" fontId="3" fillId="3" borderId="1" xfId="4" applyNumberFormat="1" applyFont="1" applyFill="1" applyBorder="1" applyAlignment="1">
      <alignment horizontal="center" vertical="center"/>
    </xf>
    <xf numFmtId="6" fontId="3" fillId="3" borderId="6" xfId="4" applyNumberFormat="1" applyFont="1" applyFill="1" applyBorder="1" applyAlignment="1">
      <alignment horizontal="center" vertical="center"/>
    </xf>
    <xf numFmtId="6" fontId="3" fillId="3" borderId="2" xfId="4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 vertical="center"/>
    </xf>
    <xf numFmtId="6" fontId="12" fillId="14" borderId="1" xfId="0" applyNumberFormat="1" applyFont="1" applyFill="1" applyBorder="1" applyAlignment="1">
      <alignment horizontal="center" vertical="center"/>
    </xf>
    <xf numFmtId="6" fontId="12" fillId="14" borderId="5" xfId="0" applyNumberFormat="1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vertical="center"/>
    </xf>
    <xf numFmtId="0" fontId="12" fillId="12" borderId="6" xfId="0" applyFont="1" applyFill="1" applyBorder="1" applyAlignment="1">
      <alignment vertical="center"/>
    </xf>
    <xf numFmtId="0" fontId="12" fillId="12" borderId="2" xfId="0" applyFont="1" applyFill="1" applyBorder="1" applyAlignment="1">
      <alignment vertical="center"/>
    </xf>
    <xf numFmtId="0" fontId="12" fillId="12" borderId="1" xfId="0" applyFont="1" applyFill="1" applyBorder="1" applyAlignment="1">
      <alignment horizontal="center" vertical="center"/>
    </xf>
    <xf numFmtId="6" fontId="12" fillId="0" borderId="1" xfId="0" applyNumberFormat="1" applyFont="1" applyBorder="1" applyAlignment="1">
      <alignment horizontal="center" vertical="center"/>
    </xf>
    <xf numFmtId="6" fontId="12" fillId="0" borderId="5" xfId="0" applyNumberFormat="1" applyFont="1" applyBorder="1" applyAlignment="1">
      <alignment horizontal="center" vertical="center"/>
    </xf>
    <xf numFmtId="49" fontId="12" fillId="12" borderId="1" xfId="0" applyNumberFormat="1" applyFont="1" applyFill="1" applyBorder="1" applyAlignment="1">
      <alignment horizontal="center" vertical="center"/>
    </xf>
    <xf numFmtId="49" fontId="12" fillId="12" borderId="5" xfId="0" applyNumberFormat="1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6" fontId="12" fillId="13" borderId="1" xfId="0" applyNumberFormat="1" applyFont="1" applyFill="1" applyBorder="1" applyAlignment="1">
      <alignment horizontal="center" vertical="center"/>
    </xf>
    <xf numFmtId="6" fontId="12" fillId="13" borderId="5" xfId="0" applyNumberFormat="1" applyFont="1" applyFill="1" applyBorder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10" fontId="14" fillId="14" borderId="3" xfId="0" applyNumberFormat="1" applyFont="1" applyFill="1" applyBorder="1" applyAlignment="1">
      <alignment horizontal="center" vertical="center"/>
    </xf>
    <xf numFmtId="0" fontId="19" fillId="0" borderId="0" xfId="0" applyFont="1" applyAlignment="1" applyProtection="1">
      <alignment horizontal="right"/>
    </xf>
    <xf numFmtId="0" fontId="2" fillId="0" borderId="0" xfId="0" applyFont="1" applyBorder="1" applyAlignment="1"/>
    <xf numFmtId="0" fontId="2" fillId="0" borderId="0" xfId="0" applyNumberFormat="1" applyFont="1" applyBorder="1" applyAlignment="1">
      <alignment wrapText="1"/>
    </xf>
    <xf numFmtId="170" fontId="2" fillId="10" borderId="0" xfId="0" applyNumberFormat="1" applyFont="1" applyFill="1" applyAlignment="1" applyProtection="1">
      <alignment horizontal="center"/>
    </xf>
    <xf numFmtId="9" fontId="2" fillId="0" borderId="4" xfId="0" applyNumberFormat="1" applyFont="1" applyBorder="1" applyAlignment="1" applyProtection="1">
      <alignment horizontal="center" vertical="center"/>
    </xf>
    <xf numFmtId="6" fontId="2" fillId="0" borderId="4" xfId="0" applyNumberFormat="1" applyFont="1" applyBorder="1" applyAlignment="1" applyProtection="1">
      <alignment horizontal="center" vertical="center"/>
    </xf>
    <xf numFmtId="0" fontId="8" fillId="9" borderId="1" xfId="0" applyFont="1" applyFill="1" applyBorder="1" applyAlignment="1" applyProtection="1">
      <alignment horizontal="center" vertical="center"/>
    </xf>
    <xf numFmtId="0" fontId="8" fillId="8" borderId="1" xfId="0" applyFont="1" applyFill="1" applyBorder="1" applyAlignment="1" applyProtection="1">
      <alignment horizontal="center" vertical="center"/>
    </xf>
    <xf numFmtId="0" fontId="8" fillId="8" borderId="5" xfId="0" applyFont="1" applyFill="1" applyBorder="1" applyAlignment="1" applyProtection="1">
      <alignment horizontal="center" vertical="center"/>
    </xf>
    <xf numFmtId="49" fontId="3" fillId="0" borderId="4" xfId="5" applyNumberFormat="1" applyFont="1" applyBorder="1" applyAlignment="1" applyProtection="1">
      <alignment horizontal="center" vertical="center"/>
    </xf>
    <xf numFmtId="3" fontId="3" fillId="0" borderId="4" xfId="5" applyNumberFormat="1" applyFont="1" applyBorder="1" applyAlignment="1" applyProtection="1">
      <alignment horizontal="center" vertical="center"/>
    </xf>
    <xf numFmtId="3" fontId="2" fillId="7" borderId="1" xfId="0" applyNumberFormat="1" applyFont="1" applyFill="1" applyBorder="1" applyAlignment="1" applyProtection="1">
      <alignment horizontal="center" vertical="center"/>
    </xf>
    <xf numFmtId="8" fontId="3" fillId="9" borderId="1" xfId="6" applyNumberFormat="1" applyFont="1" applyFill="1" applyBorder="1" applyAlignment="1" applyProtection="1">
      <alignment horizontal="center" vertical="center"/>
    </xf>
    <xf numFmtId="8" fontId="3" fillId="0" borderId="1" xfId="6" applyNumberFormat="1" applyFont="1" applyBorder="1" applyAlignment="1" applyProtection="1">
      <alignment horizontal="center" vertical="center"/>
    </xf>
    <xf numFmtId="8" fontId="3" fillId="0" borderId="5" xfId="6" applyNumberFormat="1" applyFont="1" applyBorder="1" applyAlignment="1" applyProtection="1">
      <alignment horizontal="center" vertical="center"/>
    </xf>
    <xf numFmtId="165" fontId="3" fillId="0" borderId="4" xfId="5" applyNumberFormat="1" applyFont="1" applyBorder="1" applyAlignment="1" applyProtection="1">
      <alignment horizontal="center" vertical="center"/>
    </xf>
    <xf numFmtId="166" fontId="3" fillId="0" borderId="4" xfId="5" applyNumberFormat="1" applyFont="1" applyBorder="1" applyAlignment="1" applyProtection="1">
      <alignment horizontal="center" vertical="center"/>
    </xf>
    <xf numFmtId="3" fontId="2" fillId="9" borderId="1" xfId="0" applyNumberFormat="1" applyFont="1" applyFill="1" applyBorder="1" applyAlignment="1" applyProtection="1">
      <alignment horizontal="center" vertical="center"/>
    </xf>
    <xf numFmtId="3" fontId="2" fillId="7" borderId="3" xfId="0" applyNumberFormat="1" applyFont="1" applyFill="1" applyBorder="1" applyAlignment="1" applyProtection="1">
      <alignment horizontal="center" vertical="center"/>
    </xf>
    <xf numFmtId="8" fontId="3" fillId="9" borderId="3" xfId="6" applyNumberFormat="1" applyFont="1" applyFill="1" applyBorder="1" applyAlignment="1" applyProtection="1">
      <alignment horizontal="center" vertical="center"/>
    </xf>
    <xf numFmtId="8" fontId="3" fillId="0" borderId="3" xfId="6" applyNumberFormat="1" applyFont="1" applyBorder="1" applyAlignment="1" applyProtection="1">
      <alignment horizontal="center" vertical="center"/>
    </xf>
    <xf numFmtId="8" fontId="3" fillId="0" borderId="4" xfId="6" applyNumberFormat="1" applyFont="1" applyBorder="1" applyAlignment="1" applyProtection="1">
      <alignment horizontal="center" vertical="center"/>
    </xf>
    <xf numFmtId="49" fontId="2" fillId="0" borderId="4" xfId="0" applyNumberFormat="1" applyFont="1" applyBorder="1" applyAlignment="1" applyProtection="1">
      <alignment horizontal="center" vertical="center"/>
    </xf>
    <xf numFmtId="10" fontId="13" fillId="0" borderId="0" xfId="0" applyNumberFormat="1" applyFont="1"/>
    <xf numFmtId="0" fontId="20" fillId="0" borderId="0" xfId="0" applyFont="1" applyAlignment="1">
      <alignment horizontal="right" vertical="center"/>
    </xf>
    <xf numFmtId="0" fontId="4" fillId="3" borderId="3" xfId="8" applyFont="1" applyFill="1" applyBorder="1"/>
    <xf numFmtId="1" fontId="4" fillId="3" borderId="14" xfId="8" applyNumberFormat="1" applyFont="1" applyFill="1" applyBorder="1" applyAlignment="1">
      <alignment horizontal="right"/>
    </xf>
    <xf numFmtId="0" fontId="3" fillId="0" borderId="4" xfId="8" applyFont="1" applyBorder="1"/>
    <xf numFmtId="171" fontId="3" fillId="0" borderId="4" xfId="8" applyNumberFormat="1" applyFont="1" applyFill="1" applyBorder="1" applyAlignment="1">
      <alignment horizontal="right"/>
    </xf>
    <xf numFmtId="0" fontId="3" fillId="0" borderId="4" xfId="8" applyFont="1" applyFill="1" applyBorder="1"/>
    <xf numFmtId="6" fontId="3" fillId="0" borderId="4" xfId="8" applyNumberFormat="1" applyFont="1" applyFill="1" applyBorder="1" applyAlignment="1">
      <alignment horizontal="right"/>
    </xf>
    <xf numFmtId="0" fontId="4" fillId="3" borderId="18" xfId="8" applyFont="1" applyFill="1" applyBorder="1"/>
    <xf numFmtId="6" fontId="3" fillId="3" borderId="4" xfId="8" applyNumberFormat="1" applyFont="1" applyFill="1" applyBorder="1" applyAlignment="1">
      <alignment horizontal="right"/>
    </xf>
    <xf numFmtId="0" fontId="4" fillId="0" borderId="4" xfId="8" applyFont="1" applyFill="1" applyBorder="1"/>
    <xf numFmtId="0" fontId="4" fillId="3" borderId="4" xfId="8" applyFont="1" applyFill="1" applyBorder="1"/>
    <xf numFmtId="6" fontId="3" fillId="0" borderId="4" xfId="8" applyNumberFormat="1" applyFont="1" applyFill="1" applyBorder="1" applyAlignment="1" applyProtection="1">
      <alignment horizontal="right"/>
      <protection locked="0"/>
    </xf>
    <xf numFmtId="172" fontId="3" fillId="0" borderId="4" xfId="8" applyNumberFormat="1" applyFont="1" applyFill="1" applyBorder="1" applyAlignment="1" applyProtection="1">
      <alignment horizontal="right"/>
      <protection locked="0"/>
    </xf>
    <xf numFmtId="0" fontId="3" fillId="0" borderId="0" xfId="0" applyFont="1"/>
    <xf numFmtId="1" fontId="8" fillId="2" borderId="17" xfId="8" applyNumberFormat="1" applyFont="1" applyFill="1" applyBorder="1" applyAlignment="1">
      <alignment horizontal="right"/>
    </xf>
    <xf numFmtId="1" fontId="8" fillId="2" borderId="15" xfId="8" applyNumberFormat="1" applyFont="1" applyFill="1" applyBorder="1" applyAlignment="1">
      <alignment horizontal="right"/>
    </xf>
    <xf numFmtId="0" fontId="4" fillId="6" borderId="16" xfId="8" applyFont="1" applyFill="1" applyBorder="1"/>
    <xf numFmtId="1" fontId="3" fillId="6" borderId="17" xfId="8" applyNumberFormat="1" applyFont="1" applyFill="1" applyBorder="1" applyAlignment="1">
      <alignment horizontal="right"/>
    </xf>
    <xf numFmtId="0" fontId="4" fillId="6" borderId="4" xfId="8" applyFont="1" applyFill="1" applyBorder="1"/>
    <xf numFmtId="6" fontId="3" fillId="6" borderId="4" xfId="8" applyNumberFormat="1" applyFont="1" applyFill="1" applyBorder="1" applyAlignment="1">
      <alignment horizontal="right"/>
    </xf>
    <xf numFmtId="1" fontId="4" fillId="6" borderId="17" xfId="8" applyNumberFormat="1" applyFont="1" applyFill="1" applyBorder="1" applyAlignment="1">
      <alignment horizontal="right"/>
    </xf>
    <xf numFmtId="0" fontId="9" fillId="2" borderId="4" xfId="8" applyFont="1" applyFill="1" applyBorder="1"/>
    <xf numFmtId="173" fontId="2" fillId="5" borderId="0" xfId="0" applyNumberFormat="1" applyFont="1" applyFill="1" applyBorder="1" applyAlignment="1">
      <alignment vertical="center"/>
    </xf>
    <xf numFmtId="174" fontId="2" fillId="5" borderId="0" xfId="0" applyNumberFormat="1" applyFont="1" applyFill="1" applyBorder="1" applyAlignment="1">
      <alignment vertical="center"/>
    </xf>
    <xf numFmtId="175" fontId="3" fillId="0" borderId="4" xfId="8" applyNumberFormat="1" applyFont="1" applyFill="1" applyBorder="1" applyAlignment="1" applyProtection="1">
      <alignment horizontal="right"/>
    </xf>
    <xf numFmtId="175" fontId="3" fillId="0" borderId="4" xfId="8" applyNumberFormat="1" applyFont="1" applyFill="1" applyBorder="1" applyAlignment="1" applyProtection="1">
      <alignment horizontal="right"/>
      <protection locked="0"/>
    </xf>
    <xf numFmtId="176" fontId="3" fillId="0" borderId="4" xfId="8" applyNumberFormat="1" applyFont="1" applyFill="1" applyBorder="1" applyAlignment="1">
      <alignment horizontal="right"/>
    </xf>
    <xf numFmtId="49" fontId="2" fillId="0" borderId="4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0" fontId="7" fillId="5" borderId="7" xfId="0" applyFont="1" applyFill="1" applyBorder="1" applyAlignment="1">
      <alignment horizontal="right" vertical="center"/>
    </xf>
    <xf numFmtId="0" fontId="7" fillId="5" borderId="8" xfId="0" applyFont="1" applyFill="1" applyBorder="1" applyAlignment="1">
      <alignment horizontal="right" vertical="center"/>
    </xf>
    <xf numFmtId="0" fontId="13" fillId="0" borderId="0" xfId="0" applyFont="1" applyFill="1" applyAlignment="1">
      <alignment horizontal="right"/>
    </xf>
    <xf numFmtId="0" fontId="13" fillId="0" borderId="0" xfId="0" applyFont="1" applyFill="1"/>
    <xf numFmtId="0" fontId="4" fillId="0" borderId="0" xfId="0" applyFont="1" applyFill="1" applyAlignment="1" applyProtection="1">
      <alignment horizontal="right"/>
    </xf>
    <xf numFmtId="0" fontId="3" fillId="0" borderId="0" xfId="0" applyNumberFormat="1" applyFont="1" applyFill="1" applyAlignment="1" applyProtection="1">
      <alignment horizontal="right"/>
    </xf>
    <xf numFmtId="2" fontId="3" fillId="0" borderId="0" xfId="0" applyNumberFormat="1" applyFont="1" applyAlignment="1" applyProtection="1"/>
    <xf numFmtId="2" fontId="3" fillId="0" borderId="0" xfId="0" applyNumberFormat="1" applyFont="1" applyFill="1" applyAlignment="1" applyProtection="1"/>
    <xf numFmtId="0" fontId="2" fillId="5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/>
    </xf>
    <xf numFmtId="0" fontId="3" fillId="5" borderId="0" xfId="0" applyFont="1" applyFill="1" applyAlignment="1" applyProtection="1">
      <alignment horizontal="center"/>
    </xf>
    <xf numFmtId="49" fontId="9" fillId="2" borderId="4" xfId="5" applyNumberFormat="1" applyFont="1" applyFill="1" applyBorder="1" applyAlignment="1" applyProtection="1">
      <alignment horizontal="center" vertical="center"/>
    </xf>
    <xf numFmtId="49" fontId="4" fillId="3" borderId="4" xfId="5" applyNumberFormat="1" applyFont="1" applyFill="1" applyBorder="1" applyAlignment="1" applyProtection="1">
      <alignment horizontal="center" vertical="center"/>
    </xf>
    <xf numFmtId="49" fontId="8" fillId="8" borderId="3" xfId="0" applyNumberFormat="1" applyFont="1" applyFill="1" applyBorder="1" applyAlignment="1" applyProtection="1">
      <alignment horizontal="center" vertical="center"/>
    </xf>
    <xf numFmtId="49" fontId="8" fillId="8" borderId="14" xfId="0" applyNumberFormat="1" applyFont="1" applyFill="1" applyBorder="1" applyAlignment="1" applyProtection="1">
      <alignment horizontal="center" vertical="center"/>
    </xf>
    <xf numFmtId="49" fontId="7" fillId="6" borderId="3" xfId="0" applyNumberFormat="1" applyFont="1" applyFill="1" applyBorder="1" applyAlignment="1" applyProtection="1">
      <alignment horizontal="center" vertical="center"/>
    </xf>
    <xf numFmtId="49" fontId="7" fillId="6" borderId="14" xfId="0" applyNumberFormat="1" applyFont="1" applyFill="1" applyBorder="1" applyAlignment="1" applyProtection="1">
      <alignment horizontal="center" vertical="center"/>
    </xf>
  </cellXfs>
  <cellStyles count="9">
    <cellStyle name="Normal" xfId="0" builtinId="0"/>
    <cellStyle name="Normal_BEA" xfId="6"/>
    <cellStyle name="Normal_Break-even" xfId="5"/>
    <cellStyle name="Normal_Past Performance" xfId="8"/>
    <cellStyle name="Normal_Profit and Loss" xfId="7"/>
    <cellStyle name="Normal_Sheet1" xfId="1"/>
    <cellStyle name="Normal_Sheet3" xfId="2"/>
    <cellStyle name="Normal_Sheet4" xfId="3"/>
    <cellStyle name="Normal_Sheet6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Tax Paid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419907407407407"/>
          <c:y val="0.17446037037037038"/>
          <c:w val="0.76228240740740727"/>
          <c:h val="0.53427962962962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'Profit and loss'!$A$17</c:f>
              <c:strCache>
                <c:ptCount val="1"/>
                <c:pt idx="0">
                  <c:v>Payroll Taxes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loss'!$B$17:$F$17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7-4BF2-8267-123EC0B76D44}"/>
            </c:ext>
          </c:extLst>
        </c:ser>
        <c:ser>
          <c:idx val="1"/>
          <c:order val="1"/>
          <c:tx>
            <c:strRef>
              <c:f>'Profit and loss'!$A$28</c:f>
              <c:strCache>
                <c:ptCount val="1"/>
                <c:pt idx="0">
                  <c:v>Net Income Taxes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loss'!$B$28:$F$28</c:f>
              <c:numCache>
                <c:formatCode>"$"#,##0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7-4BF2-8267-123EC0B76D44}"/>
            </c:ext>
          </c:extLst>
        </c:ser>
        <c:ser>
          <c:idx val="2"/>
          <c:order val="2"/>
          <c:tx>
            <c:strRef>
              <c:f>'Profit and loss'!$A$29</c:f>
              <c:strCache>
                <c:ptCount val="1"/>
                <c:pt idx="0">
                  <c:v>Total Taxes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loss'!$B$29:$F$29</c:f>
              <c:numCache>
                <c:formatCode>[$$-540A]#,##0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7-4BF2-8267-123EC0B76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2600447"/>
        <c:axId val="1182604191"/>
      </c:barChart>
      <c:catAx>
        <c:axId val="1182600447"/>
        <c:scaling>
          <c:orientation val="minMax"/>
        </c:scaling>
        <c:delete val="0"/>
        <c:axPos val="b"/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604191"/>
        <c:crosses val="autoZero"/>
        <c:auto val="1"/>
        <c:lblAlgn val="ctr"/>
        <c:lblOffset val="100"/>
        <c:noMultiLvlLbl val="0"/>
      </c:catAx>
      <c:valAx>
        <c:axId val="118260419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60044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6350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Company name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39999999999999"/>
          <c:y val="0.2044907407407407"/>
          <c:w val="0.84692047514679225"/>
          <c:h val="0.60114421881475344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'Profit and loss'!$A$24</c:f>
              <c:strCache>
                <c:ptCount val="1"/>
                <c:pt idx="0">
                  <c:v>Net Profit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loss'!$B$24:$F$24</c:f>
              <c:numCache>
                <c:formatCode>"$"#,##0_);[Red]\("$"#,##0\)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2-488A-B968-8F306E47E436}"/>
            </c:ext>
          </c:extLst>
        </c:ser>
        <c:ser>
          <c:idx val="1"/>
          <c:order val="1"/>
          <c:tx>
            <c:strRef>
              <c:f>'Profit and loss'!$A$5</c:f>
              <c:strCache>
                <c:ptCount val="1"/>
                <c:pt idx="0">
                  <c:v>Gross Margin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loss'!$B$5:$F$5</c:f>
              <c:numCache>
                <c:formatCode>"$"#,##0_);\("$"#,##0\)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2-488A-B968-8F306E47E436}"/>
            </c:ext>
          </c:extLst>
        </c:ser>
        <c:ser>
          <c:idx val="0"/>
          <c:order val="2"/>
          <c:tx>
            <c:strRef>
              <c:f>'Profit and loss'!$A$2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'Profit and loss'!$B$1:$F$1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'Profit and loss'!$B$2:$F$2</c:f>
              <c:numCache>
                <c:formatCode>"$"#,##0_);\("$"#,##0\)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C2-488A-B968-8F306E47E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7"/>
        <c:axId val="1192848687"/>
        <c:axId val="1192860751"/>
      </c:barChart>
      <c:catAx>
        <c:axId val="1192848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ysClr val="window" lastClr="FFFFFF">
                <a:lumMod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60751"/>
        <c:crosses val="autoZero"/>
        <c:auto val="1"/>
        <c:lblAlgn val="ctr"/>
        <c:lblOffset val="100"/>
        <c:noMultiLvlLbl val="0"/>
      </c:catAx>
      <c:valAx>
        <c:axId val="119286075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50000"/>
                </a:sys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4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761481481481485"/>
          <c:y val="0.90833074074074072"/>
          <c:w val="0.36477004807388769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Break-even Analysis for Year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37740740740742"/>
          <c:y val="0.19566666666666666"/>
          <c:w val="0.6845594444444445"/>
          <c:h val="0.61669853768278959"/>
        </c:manualLayout>
      </c:layout>
      <c:lineChart>
        <c:grouping val="standard"/>
        <c:varyColors val="0"/>
        <c:ser>
          <c:idx val="1"/>
          <c:order val="0"/>
          <c:tx>
            <c:strRef>
              <c:f>'Break-even'!$G$1</c:f>
              <c:strCache>
                <c:ptCount val="1"/>
                <c:pt idx="0">
                  <c:v>Fixed Costs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'Break-even'!$G$2:$G$11</c15:sqref>
                  </c15:fullRef>
                </c:ext>
              </c:extLst>
              <c:f>'Break-even'!$G$3:$G$11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0-4328-B821-031BC007617C}"/>
            </c:ext>
          </c:extLst>
        </c:ser>
        <c:ser>
          <c:idx val="2"/>
          <c:order val="1"/>
          <c:tx>
            <c:strRef>
              <c:f>'Break-even'!$H$1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'Break-even'!$H$2:$H$11</c15:sqref>
                  </c15:fullRef>
                </c:ext>
              </c:extLst>
              <c:f>'Break-even'!$H$3:$H$11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80-4328-B821-031BC007617C}"/>
            </c:ext>
          </c:extLst>
        </c:ser>
        <c:ser>
          <c:idx val="3"/>
          <c:order val="2"/>
          <c:tx>
            <c:strRef>
              <c:f>'Break-even'!$J$1</c:f>
              <c:strCache>
                <c:ptCount val="1"/>
                <c:pt idx="0">
                  <c:v>Total Costs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'Break-even'!$D$1:$D$11</c15:sqref>
                  </c15:fullRef>
                </c:ext>
              </c:extLst>
              <c:f>'Break-even'!$D$2:$D$11</c:f>
              <c:strCach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'Break-even'!$J$2:$J$11</c15:sqref>
                  </c15:fullRef>
                </c:ext>
              </c:extLst>
              <c:f>'Break-even'!$J$3:$J$11</c:f>
              <c:numCache>
                <c:formatCode>"$"#,##0.00_);[Red]\("$"#,##0.00\)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80-4328-B821-031BC0076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861999"/>
        <c:axId val="1192858671"/>
      </c:lineChart>
      <c:catAx>
        <c:axId val="11928619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/>
                  <a:t>Units</a:t>
                </a:r>
              </a:p>
            </c:rich>
          </c:tx>
          <c:layout>
            <c:manualLayout>
              <c:xMode val="edge"/>
              <c:yMode val="edge"/>
              <c:x val="0.44878370370370368"/>
              <c:y val="0.89796444444444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0"/>
        <c:majorTickMark val="out"/>
        <c:minorTickMark val="none"/>
        <c:tickLblPos val="nextTo"/>
        <c:spPr>
          <a:noFill/>
          <a:ln w="6350" cap="flat" cmpd="sng" algn="ctr">
            <a:solidFill>
              <a:sysClr val="windowText" lastClr="000000">
                <a:lumMod val="50000"/>
                <a:lumOff val="50000"/>
              </a:sys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58671"/>
        <c:crosses val="autoZero"/>
        <c:auto val="1"/>
        <c:lblAlgn val="ctr"/>
        <c:lblOffset val="100"/>
        <c:noMultiLvlLbl val="0"/>
      </c:catAx>
      <c:valAx>
        <c:axId val="1192858671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50000"/>
                </a:sys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861999"/>
        <c:crosses val="autoZero"/>
        <c:crossBetween val="midCat"/>
      </c:valAx>
      <c:spPr>
        <a:noFill/>
        <a:ln w="6350">
          <a:noFill/>
        </a:ln>
        <a:effectLst/>
      </c:spPr>
    </c:plotArea>
    <c:legend>
      <c:legendPos val="r"/>
      <c:layout>
        <c:manualLayout>
          <c:xMode val="edge"/>
          <c:yMode val="edge"/>
          <c:x val="0.83388722222222222"/>
          <c:y val="0.38438111111111106"/>
          <c:w val="0.16384572020876143"/>
          <c:h val="0.241073115860517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0</xdr:row>
          <xdr:rowOff>19050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3078" name="addPeson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19050</xdr:rowOff>
        </xdr:from>
        <xdr:to>
          <xdr:col>8</xdr:col>
          <xdr:colOff>133350</xdr:colOff>
          <xdr:row>2</xdr:row>
          <xdr:rowOff>76200</xdr:rowOff>
        </xdr:to>
        <xdr:sp macro="" textlink="">
          <xdr:nvSpPr>
            <xdr:cNvPr id="3079" name="deletePerson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9525</xdr:rowOff>
        </xdr:from>
        <xdr:to>
          <xdr:col>6</xdr:col>
          <xdr:colOff>590550</xdr:colOff>
          <xdr:row>2</xdr:row>
          <xdr:rowOff>66675</xdr:rowOff>
        </xdr:to>
        <xdr:sp macro="" textlink="">
          <xdr:nvSpPr>
            <xdr:cNvPr id="16385" name="addSaleVB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95250</xdr:rowOff>
        </xdr:from>
        <xdr:to>
          <xdr:col>6</xdr:col>
          <xdr:colOff>590550</xdr:colOff>
          <xdr:row>5</xdr:row>
          <xdr:rowOff>0</xdr:rowOff>
        </xdr:to>
        <xdr:sp macro="" textlink="">
          <xdr:nvSpPr>
            <xdr:cNvPr id="16386" name="delSaleVB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28575</xdr:rowOff>
        </xdr:from>
        <xdr:to>
          <xdr:col>6</xdr:col>
          <xdr:colOff>581025</xdr:colOff>
          <xdr:row>2</xdr:row>
          <xdr:rowOff>85725</xdr:rowOff>
        </xdr:to>
        <xdr:sp macro="" textlink="">
          <xdr:nvSpPr>
            <xdr:cNvPr id="6146" name="addSale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123825</xdr:rowOff>
        </xdr:from>
        <xdr:to>
          <xdr:col>6</xdr:col>
          <xdr:colOff>581025</xdr:colOff>
          <xdr:row>5</xdr:row>
          <xdr:rowOff>28575</xdr:rowOff>
        </xdr:to>
        <xdr:sp macro="" textlink="">
          <xdr:nvSpPr>
            <xdr:cNvPr id="6147" name="deleteSal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38100</xdr:rowOff>
    </xdr:from>
    <xdr:to>
      <xdr:col>8</xdr:col>
      <xdr:colOff>567650</xdr:colOff>
      <xdr:row>14</xdr:row>
      <xdr:rowOff>71100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44450</xdr:colOff>
      <xdr:row>14</xdr:row>
      <xdr:rowOff>120650</xdr:rowOff>
    </xdr:from>
    <xdr:to>
      <xdr:col>8</xdr:col>
      <xdr:colOff>567650</xdr:colOff>
      <xdr:row>28</xdr:row>
      <xdr:rowOff>153650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44450</xdr:colOff>
      <xdr:row>29</xdr:row>
      <xdr:rowOff>6350</xdr:rowOff>
    </xdr:from>
    <xdr:to>
      <xdr:col>8</xdr:col>
      <xdr:colOff>567650</xdr:colOff>
      <xdr:row>43</xdr:row>
      <xdr:rowOff>39350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9525</xdr:rowOff>
        </xdr:from>
        <xdr:to>
          <xdr:col>7</xdr:col>
          <xdr:colOff>666750</xdr:colOff>
          <xdr:row>4</xdr:row>
          <xdr:rowOff>28575</xdr:rowOff>
        </xdr:to>
        <xdr:sp macro="" textlink="">
          <xdr:nvSpPr>
            <xdr:cNvPr id="13313" name="updateFeasibility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19050</xdr:rowOff>
        </xdr:from>
        <xdr:to>
          <xdr:col>7</xdr:col>
          <xdr:colOff>676275</xdr:colOff>
          <xdr:row>3</xdr:row>
          <xdr:rowOff>38100</xdr:rowOff>
        </xdr:to>
        <xdr:sp macro="" textlink="">
          <xdr:nvSpPr>
            <xdr:cNvPr id="14337" name="udateCostBenefi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2</xdr:row>
      <xdr:rowOff>38100</xdr:rowOff>
    </xdr:from>
    <xdr:ext cx="3256917" cy="937564"/>
    <xdr:sp macro="" textlink="">
      <xdr:nvSpPr>
        <xdr:cNvPr id="2" name="TextBox 1"/>
        <xdr:cNvSpPr txBox="1"/>
      </xdr:nvSpPr>
      <xdr:spPr>
        <a:xfrm>
          <a:off x="5753100" y="381000"/>
          <a:ext cx="3256917" cy="9375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/>
            <a:t>Instructions:</a:t>
          </a:r>
        </a:p>
        <a:p>
          <a:r>
            <a:rPr lang="en-US" sz="900"/>
            <a:t>1.</a:t>
          </a:r>
          <a:r>
            <a:rPr lang="en-US" sz="900" baseline="0"/>
            <a:t> Enter data from first year in cells above</a:t>
          </a:r>
        </a:p>
        <a:p>
          <a:r>
            <a:rPr lang="en-US" sz="900" baseline="0"/>
            <a:t>2. Add or delete rows as needed</a:t>
          </a:r>
        </a:p>
        <a:p>
          <a:r>
            <a:rPr lang="en-US" sz="900" baseline="0"/>
            <a:t>3. On adding new rown extend formula from row above manually</a:t>
          </a:r>
        </a:p>
        <a:p>
          <a:r>
            <a:rPr lang="en-US" sz="900" baseline="0"/>
            <a:t>4. Fill up "Year" column</a:t>
          </a:r>
        </a:p>
        <a:p>
          <a:r>
            <a:rPr lang="en-US" sz="900" baseline="0"/>
            <a:t>5. Fill up "Growth %" column as you wish</a:t>
          </a:r>
          <a:endParaRPr lang="en-US" sz="9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00B050"/>
      </a:accent1>
      <a:accent2>
        <a:srgbClr val="FF0000"/>
      </a:accent2>
      <a:accent3>
        <a:srgbClr val="0070C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Custom 1">
    <a:dk1>
      <a:sysClr val="windowText" lastClr="000000"/>
    </a:dk1>
    <a:lt1>
      <a:sysClr val="window" lastClr="FFFFFF"/>
    </a:lt1>
    <a:dk2>
      <a:srgbClr val="4E3B30"/>
    </a:dk2>
    <a:lt2>
      <a:srgbClr val="FBEEC9"/>
    </a:lt2>
    <a:accent1>
      <a:srgbClr val="00B050"/>
    </a:accent1>
    <a:accent2>
      <a:srgbClr val="FF0000"/>
    </a:accent2>
    <a:accent3>
      <a:srgbClr val="0070C0"/>
    </a:accent3>
    <a:accent4>
      <a:srgbClr val="C3986D"/>
    </a:accent4>
    <a:accent5>
      <a:srgbClr val="A19574"/>
    </a:accent5>
    <a:accent6>
      <a:srgbClr val="C17529"/>
    </a:accent6>
    <a:hlink>
      <a:srgbClr val="AD1F1F"/>
    </a:hlink>
    <a:folHlink>
      <a:srgbClr val="FFC42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"/>
  <sheetViews>
    <sheetView tabSelected="1" zoomScale="150" zoomScaleNormal="150" workbookViewId="0"/>
  </sheetViews>
  <sheetFormatPr defaultRowHeight="12"/>
  <cols>
    <col min="1" max="1" width="26.85546875" style="1" bestFit="1" customWidth="1"/>
    <col min="2" max="2" width="15.5703125" style="1" customWidth="1"/>
    <col min="3" max="16384" width="9.140625" style="1"/>
  </cols>
  <sheetData>
    <row r="1" spans="1:2">
      <c r="A1" s="72" t="s">
        <v>12</v>
      </c>
      <c r="B1" s="73"/>
    </row>
    <row r="2" spans="1:2">
      <c r="A2" s="74" t="s">
        <v>8</v>
      </c>
      <c r="B2" s="75"/>
    </row>
    <row r="3" spans="1:2">
      <c r="A3" s="76"/>
      <c r="B3" s="77"/>
    </row>
    <row r="4" spans="1:2">
      <c r="A4" s="74" t="s">
        <v>5</v>
      </c>
      <c r="B4" s="75"/>
    </row>
    <row r="5" spans="1:2">
      <c r="A5" s="78" t="s">
        <v>14</v>
      </c>
      <c r="B5" s="79"/>
    </row>
    <row r="6" spans="1:2">
      <c r="A6" s="78" t="s">
        <v>13</v>
      </c>
      <c r="B6" s="79"/>
    </row>
    <row r="7" spans="1:2">
      <c r="A7" s="78" t="s">
        <v>0</v>
      </c>
      <c r="B7" s="79"/>
    </row>
    <row r="8" spans="1:2">
      <c r="A8" s="78" t="s">
        <v>16</v>
      </c>
      <c r="B8" s="79"/>
    </row>
    <row r="9" spans="1:2">
      <c r="A9" s="78" t="s">
        <v>11</v>
      </c>
      <c r="B9" s="79"/>
    </row>
    <row r="10" spans="1:2">
      <c r="A10" s="78" t="s">
        <v>15</v>
      </c>
      <c r="B10" s="79"/>
    </row>
    <row r="11" spans="1:2">
      <c r="A11" s="80" t="s">
        <v>9</v>
      </c>
      <c r="B11" s="81">
        <f>SUM(B5:B10)</f>
        <v>0</v>
      </c>
    </row>
    <row r="12" spans="1:2">
      <c r="A12" s="74" t="s">
        <v>1</v>
      </c>
      <c r="B12" s="75"/>
    </row>
    <row r="13" spans="1:2">
      <c r="A13" s="78" t="s">
        <v>3</v>
      </c>
      <c r="B13" s="79"/>
    </row>
    <row r="14" spans="1:2">
      <c r="A14" s="78" t="s">
        <v>10</v>
      </c>
      <c r="B14" s="79"/>
    </row>
    <row r="15" spans="1:2">
      <c r="A15" s="78" t="s">
        <v>7</v>
      </c>
      <c r="B15" s="79"/>
    </row>
    <row r="16" spans="1:2">
      <c r="A16" s="78" t="s">
        <v>6</v>
      </c>
      <c r="B16" s="79"/>
    </row>
    <row r="17" spans="1:2">
      <c r="A17" s="80" t="s">
        <v>2</v>
      </c>
      <c r="B17" s="81">
        <f>SUM(B13:B16)</f>
        <v>0</v>
      </c>
    </row>
    <row r="18" spans="1:2">
      <c r="A18" s="82" t="s">
        <v>4</v>
      </c>
      <c r="B18" s="83">
        <f>B11+B17</f>
        <v>0</v>
      </c>
    </row>
  </sheetData>
  <sheetProtection formatCells="0" insertRows="0" deleteRows="0"/>
  <dataValidations count="1">
    <dataValidation type="custom" errorStyle="warning" allowBlank="1" showInputMessage="1" showErrorMessage="1" errorTitle="Formula deleted" error="Formula was here." sqref="B11 B17 B18">
      <formula1>_xlfn.ISFORMULA(B11)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zoomScale="150" zoomScaleNormal="150" workbookViewId="0"/>
  </sheetViews>
  <sheetFormatPr defaultRowHeight="12"/>
  <cols>
    <col min="1" max="1" width="31.7109375" style="23" bestFit="1" customWidth="1"/>
    <col min="2" max="2" width="10.7109375" style="244" customWidth="1"/>
    <col min="3" max="16384" width="9.140625" style="66"/>
  </cols>
  <sheetData>
    <row r="1" spans="1:2">
      <c r="A1" s="252" t="s">
        <v>179</v>
      </c>
      <c r="B1" s="245" t="s">
        <v>183</v>
      </c>
    </row>
    <row r="2" spans="1:2">
      <c r="A2" s="234" t="s">
        <v>30</v>
      </c>
      <c r="B2" s="242">
        <v>0</v>
      </c>
    </row>
    <row r="3" spans="1:2">
      <c r="A3" s="234" t="s">
        <v>33</v>
      </c>
      <c r="B3" s="242">
        <v>0</v>
      </c>
    </row>
    <row r="4" spans="1:2">
      <c r="A4" s="234" t="s">
        <v>34</v>
      </c>
      <c r="B4" s="235">
        <f>IF(B2=0,0,B3/B2)</f>
        <v>0</v>
      </c>
    </row>
    <row r="5" spans="1:2">
      <c r="A5" s="234" t="s">
        <v>25</v>
      </c>
      <c r="B5" s="242">
        <v>0</v>
      </c>
    </row>
    <row r="6" spans="1:2">
      <c r="A6" s="236" t="s">
        <v>180</v>
      </c>
      <c r="B6" s="255">
        <v>0</v>
      </c>
    </row>
    <row r="7" spans="1:2">
      <c r="A7" s="236" t="s">
        <v>164</v>
      </c>
      <c r="B7" s="243">
        <v>0</v>
      </c>
    </row>
    <row r="8" spans="1:2" ht="12.75" thickBot="1">
      <c r="A8" s="252" t="s">
        <v>175</v>
      </c>
      <c r="B8" s="246" t="s">
        <v>183</v>
      </c>
    </row>
    <row r="9" spans="1:2">
      <c r="A9" s="247" t="s">
        <v>46</v>
      </c>
      <c r="B9" s="251"/>
    </row>
    <row r="10" spans="1:2">
      <c r="A10" s="234" t="s">
        <v>178</v>
      </c>
      <c r="B10" s="242">
        <v>0</v>
      </c>
    </row>
    <row r="11" spans="1:2">
      <c r="A11" s="236" t="s">
        <v>165</v>
      </c>
      <c r="B11" s="242">
        <v>0</v>
      </c>
    </row>
    <row r="12" spans="1:2">
      <c r="A12" s="236" t="s">
        <v>166</v>
      </c>
      <c r="B12" s="242">
        <v>0</v>
      </c>
    </row>
    <row r="13" spans="1:2">
      <c r="A13" s="234" t="s">
        <v>7</v>
      </c>
      <c r="B13" s="242">
        <v>0</v>
      </c>
    </row>
    <row r="14" spans="1:2">
      <c r="A14" s="249" t="s">
        <v>43</v>
      </c>
      <c r="B14" s="250">
        <f>SUM(B10:B13)</f>
        <v>0</v>
      </c>
    </row>
    <row r="15" spans="1:2">
      <c r="A15" s="247" t="s">
        <v>6</v>
      </c>
      <c r="B15" s="248"/>
    </row>
    <row r="16" spans="1:2">
      <c r="A16" s="234" t="s">
        <v>6</v>
      </c>
      <c r="B16" s="242">
        <v>0</v>
      </c>
    </row>
    <row r="17" spans="1:2">
      <c r="A17" s="234" t="s">
        <v>41</v>
      </c>
      <c r="B17" s="242">
        <v>0</v>
      </c>
    </row>
    <row r="18" spans="1:2">
      <c r="A18" s="249" t="s">
        <v>40</v>
      </c>
      <c r="B18" s="250">
        <f>B16-B17</f>
        <v>0</v>
      </c>
    </row>
    <row r="19" spans="1:2">
      <c r="A19" s="238" t="s">
        <v>2</v>
      </c>
      <c r="B19" s="239">
        <f>B18+B14</f>
        <v>0</v>
      </c>
    </row>
    <row r="20" spans="1:2">
      <c r="A20" s="247" t="s">
        <v>177</v>
      </c>
      <c r="B20" s="248"/>
    </row>
    <row r="21" spans="1:2">
      <c r="A21" s="236" t="s">
        <v>171</v>
      </c>
      <c r="B21" s="242">
        <v>0</v>
      </c>
    </row>
    <row r="22" spans="1:2">
      <c r="A22" s="234" t="s">
        <v>181</v>
      </c>
      <c r="B22" s="242">
        <v>0</v>
      </c>
    </row>
    <row r="23" spans="1:2">
      <c r="A23" s="234" t="s">
        <v>176</v>
      </c>
      <c r="B23" s="242">
        <v>0</v>
      </c>
    </row>
    <row r="24" spans="1:2">
      <c r="A24" s="249" t="s">
        <v>172</v>
      </c>
      <c r="B24" s="250">
        <f>SUM(B21:B23)</f>
        <v>0</v>
      </c>
    </row>
    <row r="25" spans="1:2">
      <c r="A25" s="234" t="s">
        <v>168</v>
      </c>
      <c r="B25" s="242">
        <v>0</v>
      </c>
    </row>
    <row r="26" spans="1:2">
      <c r="A26" s="249" t="s">
        <v>174</v>
      </c>
      <c r="B26" s="250">
        <f>B24+B25</f>
        <v>0</v>
      </c>
    </row>
    <row r="27" spans="1:2">
      <c r="A27" s="234" t="s">
        <v>47</v>
      </c>
      <c r="B27" s="242">
        <v>0</v>
      </c>
    </row>
    <row r="28" spans="1:2">
      <c r="A28" s="234" t="s">
        <v>48</v>
      </c>
      <c r="B28" s="237">
        <f>B19-B24-B25-B27-B29</f>
        <v>0</v>
      </c>
    </row>
    <row r="29" spans="1:2">
      <c r="A29" s="234" t="s">
        <v>49</v>
      </c>
      <c r="B29" s="242">
        <v>0</v>
      </c>
    </row>
    <row r="30" spans="1:2">
      <c r="A30" s="240" t="s">
        <v>42</v>
      </c>
      <c r="B30" s="237">
        <f>B27+B28+B29</f>
        <v>0</v>
      </c>
    </row>
    <row r="31" spans="1:2">
      <c r="A31" s="241" t="s">
        <v>169</v>
      </c>
      <c r="B31" s="239">
        <f>B26+B30</f>
        <v>0</v>
      </c>
    </row>
    <row r="32" spans="1:2">
      <c r="A32" s="232" t="s">
        <v>173</v>
      </c>
      <c r="B32" s="233"/>
    </row>
    <row r="33" spans="1:2">
      <c r="A33" s="236" t="s">
        <v>170</v>
      </c>
      <c r="B33" s="256">
        <v>0</v>
      </c>
    </row>
    <row r="34" spans="1:2">
      <c r="A34" s="236" t="s">
        <v>182</v>
      </c>
      <c r="B34" s="242">
        <v>0</v>
      </c>
    </row>
    <row r="35" spans="1:2">
      <c r="A35" s="236" t="s">
        <v>167</v>
      </c>
      <c r="B35" s="25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M26"/>
  <sheetViews>
    <sheetView zoomScale="150" zoomScaleNormal="150" workbookViewId="0">
      <selection activeCell="A2" sqref="A2"/>
    </sheetView>
  </sheetViews>
  <sheetFormatPr defaultRowHeight="12"/>
  <cols>
    <col min="1" max="1" width="44.5703125" style="8" bestFit="1" customWidth="1"/>
    <col min="2" max="6" width="8.5703125" style="8" customWidth="1"/>
    <col min="7" max="7" width="12.42578125" style="8" customWidth="1"/>
    <col min="8" max="8" width="6.85546875" style="8" bestFit="1" customWidth="1"/>
    <col min="9" max="9" width="4" style="8" customWidth="1"/>
    <col min="10" max="16384" width="9.140625" style="8"/>
  </cols>
  <sheetData>
    <row r="1" spans="1:10">
      <c r="A1" s="146" t="s">
        <v>71</v>
      </c>
      <c r="B1" s="146" t="s">
        <v>66</v>
      </c>
      <c r="C1" s="146" t="s">
        <v>67</v>
      </c>
      <c r="D1" s="146" t="s">
        <v>68</v>
      </c>
      <c r="E1" s="146" t="s">
        <v>69</v>
      </c>
      <c r="F1" s="147" t="s">
        <v>70</v>
      </c>
    </row>
    <row r="2" spans="1:10">
      <c r="A2" s="148"/>
      <c r="B2" s="149"/>
      <c r="C2" s="149">
        <f>Personnel!$B2</f>
        <v>0</v>
      </c>
      <c r="D2" s="149">
        <f>Personnel!$C2</f>
        <v>0</v>
      </c>
      <c r="E2" s="149">
        <f>Personnel!$D2</f>
        <v>0</v>
      </c>
      <c r="F2" s="150">
        <f>Personnel!$E2</f>
        <v>0</v>
      </c>
    </row>
    <row r="3" spans="1:10">
      <c r="A3" s="148"/>
      <c r="B3" s="149"/>
      <c r="C3" s="149">
        <f>Personnel!$B3</f>
        <v>0</v>
      </c>
      <c r="D3" s="149">
        <f>Personnel!$C3</f>
        <v>0</v>
      </c>
      <c r="E3" s="149">
        <f>Personnel!$D3</f>
        <v>0</v>
      </c>
      <c r="F3" s="150">
        <f>Personnel!$E3</f>
        <v>0</v>
      </c>
    </row>
    <row r="4" spans="1:10">
      <c r="A4" s="148"/>
      <c r="B4" s="149"/>
      <c r="C4" s="149">
        <f>Personnel!$B4</f>
        <v>0</v>
      </c>
      <c r="D4" s="149">
        <f>Personnel!$C4</f>
        <v>0</v>
      </c>
      <c r="E4" s="149">
        <f>Personnel!$D4</f>
        <v>0</v>
      </c>
      <c r="F4" s="150">
        <f>Personnel!$E4</f>
        <v>0</v>
      </c>
    </row>
    <row r="5" spans="1:10">
      <c r="A5" s="148"/>
      <c r="B5" s="149"/>
      <c r="C5" s="149">
        <f>Personnel!$B5</f>
        <v>0</v>
      </c>
      <c r="D5" s="149">
        <f>Personnel!$C5</f>
        <v>0</v>
      </c>
      <c r="E5" s="149">
        <f>Personnel!$D5</f>
        <v>0</v>
      </c>
      <c r="F5" s="150">
        <f>Personnel!$E5</f>
        <v>0</v>
      </c>
    </row>
    <row r="6" spans="1:10">
      <c r="A6" s="148"/>
      <c r="B6" s="149"/>
      <c r="C6" s="149">
        <f>Personnel!$B6</f>
        <v>0</v>
      </c>
      <c r="D6" s="149">
        <f>Personnel!$C6</f>
        <v>0</v>
      </c>
      <c r="E6" s="149">
        <f>Personnel!$D6</f>
        <v>0</v>
      </c>
      <c r="F6" s="150">
        <f>Personnel!$E6</f>
        <v>0</v>
      </c>
    </row>
    <row r="7" spans="1:10">
      <c r="A7" s="148"/>
      <c r="B7" s="149"/>
      <c r="C7" s="149">
        <f>Personnel!$B7</f>
        <v>0</v>
      </c>
      <c r="D7" s="149">
        <f>Personnel!$C7</f>
        <v>0</v>
      </c>
      <c r="E7" s="149">
        <f>Personnel!$D7</f>
        <v>0</v>
      </c>
      <c r="F7" s="150">
        <f>Personnel!$E7</f>
        <v>0</v>
      </c>
    </row>
    <row r="8" spans="1:10">
      <c r="A8" s="151" t="s">
        <v>64</v>
      </c>
      <c r="B8" s="152">
        <f>SUM(B2:B7)</f>
        <v>0</v>
      </c>
      <c r="C8" s="152">
        <f>SUM(C2:C7)</f>
        <v>0</v>
      </c>
      <c r="D8" s="152">
        <f>SUM(D2:D7)</f>
        <v>0</v>
      </c>
      <c r="E8" s="152">
        <f>SUM(E2:E7)</f>
        <v>0</v>
      </c>
      <c r="F8" s="153">
        <f>SUM(F2:F7)</f>
        <v>0</v>
      </c>
      <c r="G8" s="9"/>
    </row>
    <row r="9" spans="1:10">
      <c r="A9" s="10"/>
      <c r="B9" s="10"/>
      <c r="C9" s="10"/>
      <c r="D9" s="10"/>
      <c r="E9" s="10"/>
      <c r="F9" s="10"/>
      <c r="G9" s="9"/>
    </row>
    <row r="10" spans="1:10">
      <c r="A10" s="45" t="s">
        <v>72</v>
      </c>
      <c r="B10" s="45" t="s">
        <v>66</v>
      </c>
      <c r="C10" s="45" t="s">
        <v>67</v>
      </c>
      <c r="D10" s="45" t="s">
        <v>68</v>
      </c>
      <c r="E10" s="45" t="s">
        <v>69</v>
      </c>
      <c r="F10" s="45" t="s">
        <v>70</v>
      </c>
      <c r="G10" s="11" t="s">
        <v>120</v>
      </c>
      <c r="H10" s="12" t="s">
        <v>74</v>
      </c>
      <c r="I10" s="24"/>
      <c r="J10" s="24"/>
    </row>
    <row r="11" spans="1:10">
      <c r="A11" s="258">
        <f t="shared" ref="A11:A16" si="0">A2</f>
        <v>0</v>
      </c>
      <c r="B11" s="259">
        <f t="shared" ref="B11:B16" si="1">IF(B2&lt;&gt;0,G11,0)</f>
        <v>0</v>
      </c>
      <c r="C11" s="259">
        <f t="shared" ref="C11:F16" si="2">IF(C2&lt;&gt;0,IF(B11&lt;&gt;0,B11*(100%+$H11),$G11),0)</f>
        <v>0</v>
      </c>
      <c r="D11" s="259">
        <f t="shared" si="2"/>
        <v>0</v>
      </c>
      <c r="E11" s="259">
        <f t="shared" si="2"/>
        <v>0</v>
      </c>
      <c r="F11" s="259">
        <f t="shared" si="2"/>
        <v>0</v>
      </c>
      <c r="G11" s="13">
        <v>0</v>
      </c>
      <c r="H11" s="14">
        <v>0.05</v>
      </c>
      <c r="I11" s="15"/>
    </row>
    <row r="12" spans="1:10">
      <c r="A12" s="258">
        <f t="shared" si="0"/>
        <v>0</v>
      </c>
      <c r="B12" s="259">
        <f t="shared" si="1"/>
        <v>0</v>
      </c>
      <c r="C12" s="259">
        <f t="shared" si="2"/>
        <v>0</v>
      </c>
      <c r="D12" s="259">
        <f t="shared" si="2"/>
        <v>0</v>
      </c>
      <c r="E12" s="259">
        <f t="shared" si="2"/>
        <v>0</v>
      </c>
      <c r="F12" s="259">
        <f t="shared" si="2"/>
        <v>0</v>
      </c>
      <c r="G12" s="13">
        <v>0</v>
      </c>
      <c r="H12" s="14">
        <v>0.05</v>
      </c>
      <c r="I12" s="15"/>
    </row>
    <row r="13" spans="1:10">
      <c r="A13" s="258">
        <f t="shared" si="0"/>
        <v>0</v>
      </c>
      <c r="B13" s="259">
        <f t="shared" si="1"/>
        <v>0</v>
      </c>
      <c r="C13" s="259">
        <f t="shared" si="2"/>
        <v>0</v>
      </c>
      <c r="D13" s="259">
        <f t="shared" si="2"/>
        <v>0</v>
      </c>
      <c r="E13" s="259">
        <f t="shared" si="2"/>
        <v>0</v>
      </c>
      <c r="F13" s="259">
        <f t="shared" si="2"/>
        <v>0</v>
      </c>
      <c r="G13" s="13">
        <v>0</v>
      </c>
      <c r="H13" s="14">
        <v>0.05</v>
      </c>
      <c r="I13" s="15"/>
    </row>
    <row r="14" spans="1:10">
      <c r="A14" s="258">
        <f t="shared" si="0"/>
        <v>0</v>
      </c>
      <c r="B14" s="259">
        <f t="shared" si="1"/>
        <v>0</v>
      </c>
      <c r="C14" s="259">
        <f t="shared" si="2"/>
        <v>0</v>
      </c>
      <c r="D14" s="259">
        <f t="shared" si="2"/>
        <v>0</v>
      </c>
      <c r="E14" s="259">
        <f t="shared" si="2"/>
        <v>0</v>
      </c>
      <c r="F14" s="259">
        <f t="shared" si="2"/>
        <v>0</v>
      </c>
      <c r="G14" s="13">
        <v>0</v>
      </c>
      <c r="H14" s="14">
        <v>0.05</v>
      </c>
      <c r="I14" s="15"/>
    </row>
    <row r="15" spans="1:10">
      <c r="A15" s="258">
        <f t="shared" si="0"/>
        <v>0</v>
      </c>
      <c r="B15" s="259">
        <f t="shared" si="1"/>
        <v>0</v>
      </c>
      <c r="C15" s="259">
        <f t="shared" si="2"/>
        <v>0</v>
      </c>
      <c r="D15" s="259">
        <f t="shared" si="2"/>
        <v>0</v>
      </c>
      <c r="E15" s="259">
        <f t="shared" si="2"/>
        <v>0</v>
      </c>
      <c r="F15" s="259">
        <f t="shared" si="2"/>
        <v>0</v>
      </c>
      <c r="G15" s="13">
        <v>0</v>
      </c>
      <c r="H15" s="14">
        <v>0.05</v>
      </c>
      <c r="I15" s="15"/>
    </row>
    <row r="16" spans="1:10">
      <c r="A16" s="258">
        <f t="shared" si="0"/>
        <v>0</v>
      </c>
      <c r="B16" s="259">
        <f t="shared" si="1"/>
        <v>0</v>
      </c>
      <c r="C16" s="259">
        <f t="shared" si="2"/>
        <v>0</v>
      </c>
      <c r="D16" s="259">
        <f t="shared" si="2"/>
        <v>0</v>
      </c>
      <c r="E16" s="259">
        <f t="shared" si="2"/>
        <v>0</v>
      </c>
      <c r="F16" s="259">
        <f t="shared" si="2"/>
        <v>0</v>
      </c>
      <c r="G16" s="13">
        <v>0</v>
      </c>
      <c r="H16" s="14">
        <v>0.05</v>
      </c>
      <c r="I16" s="15"/>
    </row>
    <row r="18" spans="1:13">
      <c r="A18" s="146" t="s">
        <v>17</v>
      </c>
      <c r="B18" s="146" t="s">
        <v>66</v>
      </c>
      <c r="C18" s="146" t="s">
        <v>67</v>
      </c>
      <c r="D18" s="146" t="s">
        <v>68</v>
      </c>
      <c r="E18" s="146" t="s">
        <v>69</v>
      </c>
      <c r="F18" s="147" t="s">
        <v>70</v>
      </c>
    </row>
    <row r="19" spans="1:13">
      <c r="A19" s="154">
        <f t="shared" ref="A19:A25" si="3">A2</f>
        <v>0</v>
      </c>
      <c r="B19" s="155">
        <f t="shared" ref="B19:B24" si="4">B2*B11</f>
        <v>0</v>
      </c>
      <c r="C19" s="155">
        <f t="shared" ref="C19:F24" si="5">B19*(100%+$H11)+(C2-B2)*$G11</f>
        <v>0</v>
      </c>
      <c r="D19" s="155">
        <f t="shared" si="5"/>
        <v>0</v>
      </c>
      <c r="E19" s="155">
        <f t="shared" si="5"/>
        <v>0</v>
      </c>
      <c r="F19" s="156">
        <f t="shared" si="5"/>
        <v>0</v>
      </c>
      <c r="J19" s="25"/>
      <c r="K19" s="25"/>
      <c r="L19" s="25"/>
      <c r="M19" s="25"/>
    </row>
    <row r="20" spans="1:13">
      <c r="A20" s="154">
        <f t="shared" si="3"/>
        <v>0</v>
      </c>
      <c r="B20" s="155">
        <f t="shared" si="4"/>
        <v>0</v>
      </c>
      <c r="C20" s="155">
        <f t="shared" si="5"/>
        <v>0</v>
      </c>
      <c r="D20" s="155">
        <f t="shared" si="5"/>
        <v>0</v>
      </c>
      <c r="E20" s="155">
        <f t="shared" si="5"/>
        <v>0</v>
      </c>
      <c r="F20" s="156">
        <f t="shared" si="5"/>
        <v>0</v>
      </c>
      <c r="J20" s="25"/>
      <c r="K20" s="25"/>
      <c r="L20" s="25"/>
      <c r="M20" s="25"/>
    </row>
    <row r="21" spans="1:13">
      <c r="A21" s="154">
        <f t="shared" si="3"/>
        <v>0</v>
      </c>
      <c r="B21" s="155">
        <f t="shared" si="4"/>
        <v>0</v>
      </c>
      <c r="C21" s="155">
        <f t="shared" si="5"/>
        <v>0</v>
      </c>
      <c r="D21" s="155">
        <f t="shared" si="5"/>
        <v>0</v>
      </c>
      <c r="E21" s="155">
        <f t="shared" si="5"/>
        <v>0</v>
      </c>
      <c r="F21" s="156">
        <f t="shared" si="5"/>
        <v>0</v>
      </c>
      <c r="J21" s="25"/>
      <c r="K21" s="25"/>
      <c r="L21" s="25"/>
      <c r="M21" s="25"/>
    </row>
    <row r="22" spans="1:13">
      <c r="A22" s="154">
        <f t="shared" si="3"/>
        <v>0</v>
      </c>
      <c r="B22" s="155">
        <f t="shared" si="4"/>
        <v>0</v>
      </c>
      <c r="C22" s="155">
        <f t="shared" si="5"/>
        <v>0</v>
      </c>
      <c r="D22" s="155">
        <f t="shared" si="5"/>
        <v>0</v>
      </c>
      <c r="E22" s="155">
        <f t="shared" si="5"/>
        <v>0</v>
      </c>
      <c r="F22" s="156">
        <f t="shared" si="5"/>
        <v>0</v>
      </c>
      <c r="J22" s="25"/>
      <c r="K22" s="25"/>
      <c r="L22" s="25"/>
      <c r="M22" s="25"/>
    </row>
    <row r="23" spans="1:13">
      <c r="A23" s="154">
        <f t="shared" si="3"/>
        <v>0</v>
      </c>
      <c r="B23" s="155">
        <f t="shared" si="4"/>
        <v>0</v>
      </c>
      <c r="C23" s="155">
        <f t="shared" si="5"/>
        <v>0</v>
      </c>
      <c r="D23" s="155">
        <f t="shared" si="5"/>
        <v>0</v>
      </c>
      <c r="E23" s="155">
        <f t="shared" si="5"/>
        <v>0</v>
      </c>
      <c r="F23" s="156">
        <f t="shared" si="5"/>
        <v>0</v>
      </c>
      <c r="J23" s="25"/>
      <c r="K23" s="25"/>
      <c r="L23" s="25"/>
      <c r="M23" s="25"/>
    </row>
    <row r="24" spans="1:13">
      <c r="A24" s="154">
        <f t="shared" si="3"/>
        <v>0</v>
      </c>
      <c r="B24" s="155">
        <f t="shared" si="4"/>
        <v>0</v>
      </c>
      <c r="C24" s="155">
        <f t="shared" si="5"/>
        <v>0</v>
      </c>
      <c r="D24" s="155">
        <f t="shared" si="5"/>
        <v>0</v>
      </c>
      <c r="E24" s="155">
        <f t="shared" si="5"/>
        <v>0</v>
      </c>
      <c r="F24" s="156">
        <f t="shared" si="5"/>
        <v>0</v>
      </c>
      <c r="J24" s="25"/>
      <c r="K24" s="25"/>
      <c r="L24" s="25"/>
      <c r="M24" s="25"/>
    </row>
    <row r="25" spans="1:13">
      <c r="A25" s="157" t="str">
        <f t="shared" si="3"/>
        <v>Total Employees</v>
      </c>
      <c r="B25" s="158">
        <f>B8</f>
        <v>0</v>
      </c>
      <c r="C25" s="158">
        <f t="shared" ref="C25:F25" si="6">C8</f>
        <v>0</v>
      </c>
      <c r="D25" s="158">
        <f t="shared" si="6"/>
        <v>0</v>
      </c>
      <c r="E25" s="158">
        <f t="shared" si="6"/>
        <v>0</v>
      </c>
      <c r="F25" s="159">
        <f t="shared" si="6"/>
        <v>0</v>
      </c>
    </row>
    <row r="26" spans="1:13">
      <c r="A26" s="160" t="s">
        <v>73</v>
      </c>
      <c r="B26" s="161">
        <f>SUM(B19:B24)</f>
        <v>0</v>
      </c>
      <c r="C26" s="161">
        <f>SUM(C19:C24)</f>
        <v>0</v>
      </c>
      <c r="D26" s="161">
        <f>SUM(D19:D24)</f>
        <v>0</v>
      </c>
      <c r="E26" s="161">
        <f>SUM(E19:E24)</f>
        <v>0</v>
      </c>
      <c r="F26" s="162">
        <f>SUM(F19:F24)</f>
        <v>0</v>
      </c>
    </row>
  </sheetData>
  <sheetProtection formatCells="0" insertRows="0" deleteRows="0"/>
  <pageMargins left="0.7" right="0.7" top="0.75" bottom="0.75" header="0.3" footer="0.3"/>
  <pageSetup orientation="portrait" r:id="rId1"/>
  <ignoredErrors>
    <ignoredError sqref="D11:F11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addPeson">
              <controlPr defaultSize="0" print="0" autoFill="0" autoPict="0" macro="[0]!AddPerson_Click">
                <anchor moveWithCells="1">
                  <from>
                    <xdr:col>6</xdr:col>
                    <xdr:colOff>247650</xdr:colOff>
                    <xdr:row>0</xdr:row>
                    <xdr:rowOff>19050</xdr:rowOff>
                  </from>
                  <to>
                    <xdr:col>6</xdr:col>
                    <xdr:colOff>809625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eletePerson">
              <controlPr defaultSize="0" print="0" autoFill="0" autoPict="0" macro="[0]!DeletePerson_Click">
                <anchor moveWithCells="1">
                  <from>
                    <xdr:col>7</xdr:col>
                    <xdr:colOff>28575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0.39997558519241921"/>
  </sheetPr>
  <dimension ref="A1:R13"/>
  <sheetViews>
    <sheetView zoomScale="150" zoomScaleNormal="150" workbookViewId="0">
      <selection activeCell="M9" sqref="M9"/>
    </sheetView>
  </sheetViews>
  <sheetFormatPr defaultRowHeight="12"/>
  <cols>
    <col min="1" max="1" width="42.85546875" style="66" customWidth="1"/>
    <col min="2" max="6" width="14.28515625" style="66" customWidth="1"/>
    <col min="7" max="7" width="9.140625" style="66"/>
    <col min="8" max="12" width="4.5703125" style="68" customWidth="1"/>
    <col min="13" max="13" width="8.28515625" style="66" bestFit="1" customWidth="1"/>
    <col min="14" max="18" width="7.140625" style="66" customWidth="1"/>
    <col min="19" max="16384" width="9.140625" style="66"/>
  </cols>
  <sheetData>
    <row r="1" spans="1:18">
      <c r="A1" s="163" t="s">
        <v>59</v>
      </c>
      <c r="B1" s="163" t="s">
        <v>18</v>
      </c>
      <c r="C1" s="163" t="s">
        <v>19</v>
      </c>
      <c r="D1" s="163" t="s">
        <v>20</v>
      </c>
      <c r="E1" s="163" t="s">
        <v>21</v>
      </c>
      <c r="F1" s="164" t="s">
        <v>22</v>
      </c>
      <c r="H1" s="268" t="s">
        <v>160</v>
      </c>
      <c r="I1" s="268"/>
      <c r="J1" s="268"/>
      <c r="K1" s="268"/>
      <c r="L1" s="268"/>
    </row>
    <row r="2" spans="1:18">
      <c r="A2" s="165" t="s">
        <v>30</v>
      </c>
      <c r="B2" s="166"/>
      <c r="C2" s="167"/>
      <c r="D2" s="167"/>
      <c r="E2" s="167"/>
      <c r="F2" s="168"/>
      <c r="H2" s="69" t="s">
        <v>149</v>
      </c>
      <c r="I2" s="69" t="s">
        <v>150</v>
      </c>
      <c r="J2" s="69" t="s">
        <v>151</v>
      </c>
      <c r="K2" s="69" t="s">
        <v>152</v>
      </c>
      <c r="L2" s="69" t="s">
        <v>153</v>
      </c>
    </row>
    <row r="3" spans="1:18">
      <c r="A3" s="169"/>
      <c r="B3" s="170">
        <f t="shared" ref="B3:F6" si="0">ROUND(H3*N$7,0)</f>
        <v>0</v>
      </c>
      <c r="C3" s="170">
        <f t="shared" si="0"/>
        <v>0</v>
      </c>
      <c r="D3" s="170">
        <f t="shared" si="0"/>
        <v>0</v>
      </c>
      <c r="E3" s="170">
        <f t="shared" si="0"/>
        <v>0</v>
      </c>
      <c r="F3" s="171">
        <f t="shared" si="0"/>
        <v>0</v>
      </c>
      <c r="H3" s="260">
        <v>0</v>
      </c>
      <c r="I3" s="261">
        <f>H3</f>
        <v>0</v>
      </c>
      <c r="J3" s="261">
        <f t="shared" ref="J3:L3" si="1">I3</f>
        <v>0</v>
      </c>
      <c r="K3" s="261">
        <f t="shared" si="1"/>
        <v>0</v>
      </c>
      <c r="L3" s="261">
        <f t="shared" si="1"/>
        <v>0</v>
      </c>
      <c r="N3" s="66">
        <f t="shared" ref="N3:R6" si="2">H3-H9</f>
        <v>0</v>
      </c>
      <c r="O3" s="66">
        <f t="shared" si="2"/>
        <v>0</v>
      </c>
      <c r="P3" s="66">
        <f t="shared" si="2"/>
        <v>0</v>
      </c>
      <c r="Q3" s="66">
        <f t="shared" si="2"/>
        <v>0</v>
      </c>
      <c r="R3" s="66">
        <f t="shared" si="2"/>
        <v>0</v>
      </c>
    </row>
    <row r="4" spans="1:18">
      <c r="A4" s="169"/>
      <c r="B4" s="170">
        <f t="shared" si="0"/>
        <v>0</v>
      </c>
      <c r="C4" s="170">
        <f t="shared" si="0"/>
        <v>0</v>
      </c>
      <c r="D4" s="170">
        <f t="shared" si="0"/>
        <v>0</v>
      </c>
      <c r="E4" s="170">
        <f t="shared" si="0"/>
        <v>0</v>
      </c>
      <c r="F4" s="171">
        <f t="shared" si="0"/>
        <v>0</v>
      </c>
      <c r="H4" s="260">
        <v>0</v>
      </c>
      <c r="I4" s="261">
        <f t="shared" ref="I4:L6" si="3">H4</f>
        <v>0</v>
      </c>
      <c r="J4" s="261">
        <f t="shared" si="3"/>
        <v>0</v>
      </c>
      <c r="K4" s="261">
        <f t="shared" si="3"/>
        <v>0</v>
      </c>
      <c r="L4" s="261">
        <f t="shared" si="3"/>
        <v>0</v>
      </c>
      <c r="N4" s="66">
        <f t="shared" si="2"/>
        <v>0</v>
      </c>
      <c r="O4" s="66">
        <f t="shared" si="2"/>
        <v>0</v>
      </c>
      <c r="P4" s="66">
        <f t="shared" si="2"/>
        <v>0</v>
      </c>
      <c r="Q4" s="66">
        <f t="shared" si="2"/>
        <v>0</v>
      </c>
      <c r="R4" s="66">
        <f t="shared" si="2"/>
        <v>0</v>
      </c>
    </row>
    <row r="5" spans="1:18">
      <c r="A5" s="169"/>
      <c r="B5" s="170">
        <f t="shared" si="0"/>
        <v>0</v>
      </c>
      <c r="C5" s="170">
        <f t="shared" si="0"/>
        <v>0</v>
      </c>
      <c r="D5" s="170">
        <f t="shared" si="0"/>
        <v>0</v>
      </c>
      <c r="E5" s="170">
        <f t="shared" si="0"/>
        <v>0</v>
      </c>
      <c r="F5" s="171">
        <f t="shared" si="0"/>
        <v>0</v>
      </c>
      <c r="H5" s="260">
        <v>0</v>
      </c>
      <c r="I5" s="261">
        <f t="shared" ref="I5" si="4">H5</f>
        <v>0</v>
      </c>
      <c r="J5" s="261">
        <f t="shared" ref="J5" si="5">I5</f>
        <v>0</v>
      </c>
      <c r="K5" s="261">
        <f t="shared" ref="K5" si="6">J5</f>
        <v>0</v>
      </c>
      <c r="L5" s="261">
        <f t="shared" ref="L5" si="7">K5</f>
        <v>0</v>
      </c>
      <c r="N5" s="66">
        <f t="shared" si="2"/>
        <v>0</v>
      </c>
      <c r="O5" s="66">
        <f t="shared" si="2"/>
        <v>0</v>
      </c>
      <c r="P5" s="66">
        <f t="shared" si="2"/>
        <v>0</v>
      </c>
      <c r="Q5" s="66">
        <f t="shared" si="2"/>
        <v>0</v>
      </c>
      <c r="R5" s="66">
        <f t="shared" si="2"/>
        <v>0</v>
      </c>
    </row>
    <row r="6" spans="1:18">
      <c r="A6" s="169"/>
      <c r="B6" s="170">
        <f t="shared" si="0"/>
        <v>0</v>
      </c>
      <c r="C6" s="170">
        <f t="shared" si="0"/>
        <v>0</v>
      </c>
      <c r="D6" s="170">
        <f t="shared" si="0"/>
        <v>0</v>
      </c>
      <c r="E6" s="170">
        <f t="shared" si="0"/>
        <v>0</v>
      </c>
      <c r="F6" s="171">
        <f t="shared" si="0"/>
        <v>0</v>
      </c>
      <c r="H6" s="260">
        <v>0</v>
      </c>
      <c r="I6" s="261">
        <f t="shared" si="3"/>
        <v>0</v>
      </c>
      <c r="J6" s="261">
        <f t="shared" si="3"/>
        <v>0</v>
      </c>
      <c r="K6" s="261">
        <f t="shared" si="3"/>
        <v>0</v>
      </c>
      <c r="L6" s="261">
        <f t="shared" si="3"/>
        <v>0</v>
      </c>
      <c r="N6" s="66">
        <f t="shared" si="2"/>
        <v>0</v>
      </c>
      <c r="O6" s="66">
        <f t="shared" si="2"/>
        <v>0</v>
      </c>
      <c r="P6" s="66">
        <f t="shared" si="2"/>
        <v>0</v>
      </c>
      <c r="Q6" s="66">
        <f t="shared" si="2"/>
        <v>0</v>
      </c>
      <c r="R6" s="66">
        <f t="shared" si="2"/>
        <v>0</v>
      </c>
    </row>
    <row r="7" spans="1:18">
      <c r="A7" s="172" t="s">
        <v>62</v>
      </c>
      <c r="B7" s="170">
        <f>SUM(B3:B6)</f>
        <v>0</v>
      </c>
      <c r="C7" s="170">
        <f>SUM(C3:C6)</f>
        <v>0</v>
      </c>
      <c r="D7" s="170">
        <f>SUM(D3:D6)</f>
        <v>0</v>
      </c>
      <c r="E7" s="170">
        <f>SUM(E3:E6)</f>
        <v>0</v>
      </c>
      <c r="F7" s="171">
        <f>SUM(F3:F6)</f>
        <v>0</v>
      </c>
      <c r="H7" s="269" t="s">
        <v>161</v>
      </c>
      <c r="I7" s="269"/>
      <c r="J7" s="269"/>
      <c r="K7" s="269"/>
      <c r="L7" s="269"/>
      <c r="M7" s="262" t="s">
        <v>76</v>
      </c>
      <c r="N7" s="263">
        <f>IF((100%-'Profit and loss'!$G$23)*SUM(N3:N6)-'Profit and loss'!B26*SUM(H3:H6)=0,0,(100%-'Profit and loss'!$G$23)*'Profit and loss'!B19/((100%-'Profit and loss'!$G$23)*SUM(N3:N6)-'Profit and loss'!B26*SUM(H3:H6)))</f>
        <v>0</v>
      </c>
      <c r="O7" s="263">
        <f>IF((100%-'Profit and loss'!$G$23)*SUM(O3:O6)-'Profit and loss'!C26*SUM(I3:I6)=0,0,(100%-'Profit and loss'!$G$23)*'Profit and loss'!C19/((100%-'Profit and loss'!$G$23)*SUM(O3:O6)-'Profit and loss'!C26*SUM(I3:I6)))</f>
        <v>0</v>
      </c>
      <c r="P7" s="263">
        <f>IF((100%-'Profit and loss'!$G$23)*SUM(P3:P6)-'Profit and loss'!D26*SUM(J3:J6)=0,0,(100%-'Profit and loss'!$G$23)*'Profit and loss'!D19/((100%-'Profit and loss'!$G$23)*SUM(P3:P6)-'Profit and loss'!D26*SUM(J3:J6)))</f>
        <v>0</v>
      </c>
      <c r="Q7" s="263">
        <f>IF((100%-'Profit and loss'!$G$23)*SUM(Q3:Q6)-'Profit and loss'!E26*SUM(K3:K6)=0,0,(100%-'Profit and loss'!$G$23)*'Profit and loss'!E19/((100%-'Profit and loss'!$G$23)*SUM(Q3:Q6)-'Profit and loss'!E26*SUM(K3:K6)))</f>
        <v>0</v>
      </c>
      <c r="R7" s="263">
        <f>IF((100%-'Profit and loss'!$G$23)*SUM(R3:R6)-'Profit and loss'!F26*SUM(L3:L6)=0,0,(100%-'Profit and loss'!$G$23)*'Profit and loss'!F19/((100%-'Profit and loss'!$G$23)*SUM(R3:R6)-'Profit and loss'!F26*SUM(L3:L6)))</f>
        <v>0</v>
      </c>
    </row>
    <row r="8" spans="1:18">
      <c r="A8" s="173" t="s">
        <v>31</v>
      </c>
      <c r="B8" s="174"/>
      <c r="C8" s="175"/>
      <c r="D8" s="175"/>
      <c r="E8" s="175"/>
      <c r="F8" s="176"/>
      <c r="H8" s="69" t="s">
        <v>149</v>
      </c>
      <c r="I8" s="69" t="s">
        <v>150</v>
      </c>
      <c r="J8" s="69" t="s">
        <v>151</v>
      </c>
      <c r="K8" s="69" t="s">
        <v>152</v>
      </c>
      <c r="L8" s="69" t="s">
        <v>153</v>
      </c>
      <c r="M8" s="231" t="s">
        <v>163</v>
      </c>
    </row>
    <row r="9" spans="1:18">
      <c r="A9" s="169">
        <f>A3</f>
        <v>0</v>
      </c>
      <c r="B9" s="170">
        <f>ROUND(H9*N$7,0)</f>
        <v>0</v>
      </c>
      <c r="C9" s="170">
        <f t="shared" ref="C9:F9" si="8">ROUND(I9*O$7,0)</f>
        <v>0</v>
      </c>
      <c r="D9" s="170">
        <f t="shared" si="8"/>
        <v>0</v>
      </c>
      <c r="E9" s="170">
        <f t="shared" si="8"/>
        <v>0</v>
      </c>
      <c r="F9" s="171">
        <f t="shared" si="8"/>
        <v>0</v>
      </c>
      <c r="H9" s="260">
        <f>H3*$M9</f>
        <v>0</v>
      </c>
      <c r="I9" s="260">
        <f t="shared" ref="I9:L9" si="9">I3*$M9</f>
        <v>0</v>
      </c>
      <c r="J9" s="260">
        <f t="shared" si="9"/>
        <v>0</v>
      </c>
      <c r="K9" s="260">
        <f t="shared" si="9"/>
        <v>0</v>
      </c>
      <c r="L9" s="260">
        <f t="shared" si="9"/>
        <v>0</v>
      </c>
      <c r="M9" s="230">
        <v>0</v>
      </c>
    </row>
    <row r="10" spans="1:18">
      <c r="A10" s="169">
        <f>A4</f>
        <v>0</v>
      </c>
      <c r="B10" s="170">
        <f t="shared" ref="B10:B11" si="10">ROUND(H10*N$7,0)</f>
        <v>0</v>
      </c>
      <c r="C10" s="170">
        <f t="shared" ref="C10:C11" si="11">ROUND(I10*O$7,0)</f>
        <v>0</v>
      </c>
      <c r="D10" s="170">
        <f t="shared" ref="D10:D11" si="12">ROUND(J10*P$7,0)</f>
        <v>0</v>
      </c>
      <c r="E10" s="170">
        <f t="shared" ref="E10:E11" si="13">ROUND(K10*Q$7,0)</f>
        <v>0</v>
      </c>
      <c r="F10" s="171">
        <f t="shared" ref="F10:F11" si="14">ROUND(L10*R$7,0)</f>
        <v>0</v>
      </c>
      <c r="H10" s="260">
        <f t="shared" ref="H10:L12" si="15">H4*$M10</f>
        <v>0</v>
      </c>
      <c r="I10" s="260">
        <f t="shared" si="15"/>
        <v>0</v>
      </c>
      <c r="J10" s="260">
        <f t="shared" si="15"/>
        <v>0</v>
      </c>
      <c r="K10" s="260">
        <f t="shared" si="15"/>
        <v>0</v>
      </c>
      <c r="L10" s="260">
        <f t="shared" si="15"/>
        <v>0</v>
      </c>
      <c r="M10" s="230">
        <v>0</v>
      </c>
    </row>
    <row r="11" spans="1:18">
      <c r="A11" s="169">
        <f>A5</f>
        <v>0</v>
      </c>
      <c r="B11" s="170">
        <f t="shared" si="10"/>
        <v>0</v>
      </c>
      <c r="C11" s="170">
        <f t="shared" si="11"/>
        <v>0</v>
      </c>
      <c r="D11" s="170">
        <f t="shared" si="12"/>
        <v>0</v>
      </c>
      <c r="E11" s="170">
        <f t="shared" si="13"/>
        <v>0</v>
      </c>
      <c r="F11" s="171">
        <f t="shared" si="14"/>
        <v>0</v>
      </c>
      <c r="H11" s="260">
        <f t="shared" si="15"/>
        <v>0</v>
      </c>
      <c r="I11" s="260">
        <f t="shared" si="15"/>
        <v>0</v>
      </c>
      <c r="J11" s="260">
        <f t="shared" si="15"/>
        <v>0</v>
      </c>
      <c r="K11" s="260">
        <f t="shared" si="15"/>
        <v>0</v>
      </c>
      <c r="L11" s="260">
        <f t="shared" si="15"/>
        <v>0</v>
      </c>
      <c r="M11" s="230">
        <v>0</v>
      </c>
    </row>
    <row r="12" spans="1:18">
      <c r="A12" s="169">
        <f>A6</f>
        <v>0</v>
      </c>
      <c r="B12" s="170">
        <f t="shared" ref="B12" si="16">ROUND(H12*N$7,0)</f>
        <v>0</v>
      </c>
      <c r="C12" s="170">
        <f t="shared" ref="C12" si="17">ROUND(I12*O$7,0)</f>
        <v>0</v>
      </c>
      <c r="D12" s="170">
        <f t="shared" ref="D12" si="18">ROUND(J12*P$7,0)</f>
        <v>0</v>
      </c>
      <c r="E12" s="170">
        <f t="shared" ref="E12" si="19">ROUND(K12*Q$7,0)</f>
        <v>0</v>
      </c>
      <c r="F12" s="171">
        <f t="shared" ref="F12" si="20">ROUND(L12*R$7,0)</f>
        <v>0</v>
      </c>
      <c r="H12" s="260">
        <f t="shared" si="15"/>
        <v>0</v>
      </c>
      <c r="I12" s="260">
        <f t="shared" si="15"/>
        <v>0</v>
      </c>
      <c r="J12" s="260">
        <f t="shared" si="15"/>
        <v>0</v>
      </c>
      <c r="K12" s="260">
        <f t="shared" si="15"/>
        <v>0</v>
      </c>
      <c r="L12" s="260">
        <f t="shared" si="15"/>
        <v>0</v>
      </c>
      <c r="M12" s="230">
        <v>0</v>
      </c>
    </row>
    <row r="13" spans="1:18">
      <c r="A13" s="177" t="s">
        <v>63</v>
      </c>
      <c r="B13" s="178">
        <f>SUM(B9:B12)</f>
        <v>0</v>
      </c>
      <c r="C13" s="178">
        <f>SUM(C9:C12)</f>
        <v>0</v>
      </c>
      <c r="D13" s="178">
        <f>SUM(D9:D12)</f>
        <v>0</v>
      </c>
      <c r="E13" s="178">
        <f>SUM(E9:E12)</f>
        <v>0</v>
      </c>
      <c r="F13" s="179">
        <f>SUM(F9:F12)</f>
        <v>0</v>
      </c>
    </row>
  </sheetData>
  <mergeCells count="2">
    <mergeCell ref="H1:L1"/>
    <mergeCell ref="H7:L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addSaleVB">
              <controlPr defaultSize="0" print="0" autoFill="0" autoPict="0" macro="[0]!AddSaleVB_Click">
                <anchor moveWithCells="1" sizeWithCells="1">
                  <from>
                    <xdr:col>6</xdr:col>
                    <xdr:colOff>38100</xdr:colOff>
                    <xdr:row>0</xdr:row>
                    <xdr:rowOff>9525</xdr:rowOff>
                  </from>
                  <to>
                    <xdr:col>6</xdr:col>
                    <xdr:colOff>590550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delSaleVB">
              <controlPr defaultSize="0" print="0" autoFill="0" autoPict="0" macro="[0]!DeleteSaleVB_Click">
                <anchor moveWithCells="1" sizeWithCells="1">
                  <from>
                    <xdr:col>6</xdr:col>
                    <xdr:colOff>38100</xdr:colOff>
                    <xdr:row>2</xdr:row>
                    <xdr:rowOff>95250</xdr:rowOff>
                  </from>
                  <to>
                    <xdr:col>6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A1:R39"/>
  <sheetViews>
    <sheetView zoomScale="150" zoomScaleNormal="150" workbookViewId="0">
      <selection activeCell="K24" sqref="K24"/>
    </sheetView>
  </sheetViews>
  <sheetFormatPr defaultRowHeight="12"/>
  <cols>
    <col min="1" max="1" width="42.85546875" style="7" customWidth="1"/>
    <col min="2" max="6" width="14.28515625" style="5" customWidth="1"/>
    <col min="7" max="7" width="9.140625" style="5"/>
    <col min="8" max="12" width="4.7109375" style="5" customWidth="1"/>
    <col min="13" max="17" width="10" style="5" customWidth="1"/>
    <col min="18" max="16384" width="9.140625" style="5"/>
  </cols>
  <sheetData>
    <row r="1" spans="1:18">
      <c r="A1" s="163" t="s">
        <v>59</v>
      </c>
      <c r="B1" s="163" t="s">
        <v>18</v>
      </c>
      <c r="C1" s="163" t="s">
        <v>19</v>
      </c>
      <c r="D1" s="163" t="s">
        <v>20</v>
      </c>
      <c r="E1" s="163" t="s">
        <v>21</v>
      </c>
      <c r="F1" s="164" t="s">
        <v>22</v>
      </c>
      <c r="H1" s="273" t="s">
        <v>121</v>
      </c>
      <c r="I1" s="273"/>
      <c r="J1" s="273"/>
      <c r="K1" s="273"/>
      <c r="L1" s="273"/>
    </row>
    <row r="2" spans="1:18">
      <c r="A2" s="165" t="s">
        <v>60</v>
      </c>
      <c r="B2" s="166"/>
      <c r="C2" s="167"/>
      <c r="D2" s="167"/>
      <c r="E2" s="167"/>
      <c r="F2" s="168"/>
      <c r="H2" s="32" t="s">
        <v>149</v>
      </c>
      <c r="I2" s="32" t="s">
        <v>150</v>
      </c>
      <c r="J2" s="32" t="s">
        <v>151</v>
      </c>
      <c r="K2" s="32" t="s">
        <v>152</v>
      </c>
      <c r="L2" s="32" t="s">
        <v>153</v>
      </c>
      <c r="M2" s="270" t="s">
        <v>122</v>
      </c>
      <c r="N2" s="270"/>
      <c r="O2" s="270"/>
      <c r="P2" s="270"/>
      <c r="Q2" s="270"/>
    </row>
    <row r="3" spans="1:18">
      <c r="A3" s="169"/>
      <c r="B3" s="180">
        <f t="shared" ref="B3:F8" si="0">ROUND(H3*M$17,0)</f>
        <v>0</v>
      </c>
      <c r="C3" s="180">
        <f t="shared" si="0"/>
        <v>0</v>
      </c>
      <c r="D3" s="180">
        <f t="shared" si="0"/>
        <v>0</v>
      </c>
      <c r="E3" s="180">
        <f t="shared" si="0"/>
        <v>0</v>
      </c>
      <c r="F3" s="181">
        <f t="shared" si="0"/>
        <v>0</v>
      </c>
      <c r="H3" s="29">
        <v>0</v>
      </c>
      <c r="I3" s="30">
        <f t="shared" ref="I3" si="1">H3</f>
        <v>0</v>
      </c>
      <c r="J3" s="30">
        <f t="shared" ref="J3" si="2">I3</f>
        <v>0</v>
      </c>
      <c r="K3" s="30">
        <f t="shared" ref="K3" si="3">J3</f>
        <v>0</v>
      </c>
      <c r="L3" s="30">
        <f t="shared" ref="L3" si="4">K3</f>
        <v>0</v>
      </c>
      <c r="M3" s="28">
        <f>(100%-'Profit and loss'!$G$23-'Profit and loss'!B$26)*B11-(100%-'Profit and loss'!$G$23)*B26</f>
        <v>0</v>
      </c>
      <c r="N3" s="28">
        <f>(100%-'Profit and loss'!$G$23-'Profit and loss'!C$26)*C11-(100%-'Profit and loss'!$G$23)*C26</f>
        <v>0</v>
      </c>
      <c r="O3" s="28">
        <f>(100%-'Profit and loss'!$G$23-'Profit and loss'!D$26)*D11-(100%-'Profit and loss'!$G$23)*D26</f>
        <v>0</v>
      </c>
      <c r="P3" s="28">
        <f>(100%-'Profit and loss'!$G$23-'Profit and loss'!E$26)*E11-(100%-'Profit and loss'!$G$23)*E26</f>
        <v>0</v>
      </c>
      <c r="Q3" s="28">
        <f>(100%-'Profit and loss'!$G$23-'Profit and loss'!F$26)*F11-(100%-'Profit and loss'!$G$23)*F26</f>
        <v>0</v>
      </c>
      <c r="R3" s="2"/>
    </row>
    <row r="4" spans="1:18">
      <c r="A4" s="169"/>
      <c r="B4" s="180">
        <f t="shared" si="0"/>
        <v>0</v>
      </c>
      <c r="C4" s="180">
        <f t="shared" si="0"/>
        <v>0</v>
      </c>
      <c r="D4" s="180">
        <f t="shared" si="0"/>
        <v>0</v>
      </c>
      <c r="E4" s="180">
        <f t="shared" si="0"/>
        <v>0</v>
      </c>
      <c r="F4" s="181">
        <f t="shared" si="0"/>
        <v>0</v>
      </c>
      <c r="H4" s="29">
        <v>0</v>
      </c>
      <c r="I4" s="30">
        <f t="shared" ref="I4:L4" si="5">H4</f>
        <v>0</v>
      </c>
      <c r="J4" s="30">
        <f t="shared" si="5"/>
        <v>0</v>
      </c>
      <c r="K4" s="30">
        <f t="shared" si="5"/>
        <v>0</v>
      </c>
      <c r="L4" s="30">
        <f t="shared" si="5"/>
        <v>0</v>
      </c>
      <c r="M4" s="28">
        <f>(100%-'Profit and loss'!$G$23-'Profit and loss'!B$26)*B12-(100%-'Profit and loss'!$G$23)*B27</f>
        <v>0</v>
      </c>
      <c r="N4" s="28">
        <f>(100%-'Profit and loss'!$G$23-'Profit and loss'!C$26)*C12-(100%-'Profit and loss'!$G$23)*C27</f>
        <v>0</v>
      </c>
      <c r="O4" s="28">
        <f>(100%-'Profit and loss'!$G$23-'Profit and loss'!D$26)*D12-(100%-'Profit and loss'!$G$23)*D27</f>
        <v>0</v>
      </c>
      <c r="P4" s="28">
        <f>(100%-'Profit and loss'!$G$23-'Profit and loss'!E$26)*E12-(100%-'Profit and loss'!$G$23)*E27</f>
        <v>0</v>
      </c>
      <c r="Q4" s="28">
        <f>(100%-'Profit and loss'!$G$23-'Profit and loss'!F$26)*F12-(100%-'Profit and loss'!$G$23)*F27</f>
        <v>0</v>
      </c>
      <c r="R4" s="2"/>
    </row>
    <row r="5" spans="1:18">
      <c r="A5" s="169"/>
      <c r="B5" s="180">
        <f t="shared" si="0"/>
        <v>0</v>
      </c>
      <c r="C5" s="180">
        <f t="shared" si="0"/>
        <v>0</v>
      </c>
      <c r="D5" s="180">
        <f t="shared" si="0"/>
        <v>0</v>
      </c>
      <c r="E5" s="180">
        <f t="shared" si="0"/>
        <v>0</v>
      </c>
      <c r="F5" s="181">
        <f t="shared" si="0"/>
        <v>0</v>
      </c>
      <c r="H5" s="29">
        <v>0</v>
      </c>
      <c r="I5" s="30">
        <f t="shared" ref="I5:L5" si="6">H5</f>
        <v>0</v>
      </c>
      <c r="J5" s="30">
        <f t="shared" si="6"/>
        <v>0</v>
      </c>
      <c r="K5" s="30">
        <f t="shared" si="6"/>
        <v>0</v>
      </c>
      <c r="L5" s="30">
        <f t="shared" si="6"/>
        <v>0</v>
      </c>
      <c r="M5" s="28">
        <f>(100%-'Profit and loss'!$G$23-'Profit and loss'!B$26)*B13-(100%-'Profit and loss'!$G$23)*B28</f>
        <v>0</v>
      </c>
      <c r="N5" s="28">
        <f>(100%-'Profit and loss'!$G$23-'Profit and loss'!C$26)*C13-(100%-'Profit and loss'!$G$23)*C28</f>
        <v>0</v>
      </c>
      <c r="O5" s="28">
        <f>(100%-'Profit and loss'!$G$23-'Profit and loss'!D$26)*D13-(100%-'Profit and loss'!$G$23)*D28</f>
        <v>0</v>
      </c>
      <c r="P5" s="28">
        <f>(100%-'Profit and loss'!$G$23-'Profit and loss'!E$26)*E13-(100%-'Profit and loss'!$G$23)*E28</f>
        <v>0</v>
      </c>
      <c r="Q5" s="28">
        <f>(100%-'Profit and loss'!$G$23-'Profit and loss'!F$26)*F13-(100%-'Profit and loss'!$G$23)*F28</f>
        <v>0</v>
      </c>
      <c r="R5" s="2"/>
    </row>
    <row r="6" spans="1:18">
      <c r="A6" s="169"/>
      <c r="B6" s="180">
        <f t="shared" si="0"/>
        <v>0</v>
      </c>
      <c r="C6" s="180">
        <f t="shared" si="0"/>
        <v>0</v>
      </c>
      <c r="D6" s="180">
        <f t="shared" si="0"/>
        <v>0</v>
      </c>
      <c r="E6" s="180">
        <f t="shared" si="0"/>
        <v>0</v>
      </c>
      <c r="F6" s="181">
        <f t="shared" si="0"/>
        <v>0</v>
      </c>
      <c r="H6" s="29">
        <v>0</v>
      </c>
      <c r="I6" s="30">
        <f t="shared" ref="I6:L6" si="7">H6</f>
        <v>0</v>
      </c>
      <c r="J6" s="30">
        <f t="shared" si="7"/>
        <v>0</v>
      </c>
      <c r="K6" s="30">
        <f t="shared" si="7"/>
        <v>0</v>
      </c>
      <c r="L6" s="30">
        <f t="shared" si="7"/>
        <v>0</v>
      </c>
      <c r="M6" s="28">
        <f>(100%-'Profit and loss'!$G$23-'Profit and loss'!B$26)*B14-(100%-'Profit and loss'!$G$23)*B29</f>
        <v>0</v>
      </c>
      <c r="N6" s="28">
        <f>(100%-'Profit and loss'!$G$23-'Profit and loss'!C$26)*C14-(100%-'Profit and loss'!$G$23)*C29</f>
        <v>0</v>
      </c>
      <c r="O6" s="28">
        <f>(100%-'Profit and loss'!$G$23-'Profit and loss'!D$26)*D14-(100%-'Profit and loss'!$G$23)*D29</f>
        <v>0</v>
      </c>
      <c r="P6" s="28">
        <f>(100%-'Profit and loss'!$G$23-'Profit and loss'!E$26)*E14-(100%-'Profit and loss'!$G$23)*E29</f>
        <v>0</v>
      </c>
      <c r="Q6" s="28">
        <f>(100%-'Profit and loss'!$G$23-'Profit and loss'!F$26)*F14-(100%-'Profit and loss'!$G$23)*F29</f>
        <v>0</v>
      </c>
      <c r="R6" s="2"/>
    </row>
    <row r="7" spans="1:18">
      <c r="A7" s="169"/>
      <c r="B7" s="180">
        <f t="shared" si="0"/>
        <v>0</v>
      </c>
      <c r="C7" s="180">
        <f t="shared" si="0"/>
        <v>0</v>
      </c>
      <c r="D7" s="180">
        <f t="shared" si="0"/>
        <v>0</v>
      </c>
      <c r="E7" s="180">
        <f t="shared" si="0"/>
        <v>0</v>
      </c>
      <c r="F7" s="181">
        <f t="shared" si="0"/>
        <v>0</v>
      </c>
      <c r="H7" s="29">
        <v>0</v>
      </c>
      <c r="I7" s="30">
        <f t="shared" ref="I7:L7" si="8">H7</f>
        <v>0</v>
      </c>
      <c r="J7" s="30">
        <f t="shared" si="8"/>
        <v>0</v>
      </c>
      <c r="K7" s="30">
        <f t="shared" si="8"/>
        <v>0</v>
      </c>
      <c r="L7" s="30">
        <f t="shared" si="8"/>
        <v>0</v>
      </c>
      <c r="M7" s="28">
        <f>(100%-'Profit and loss'!$G$23-'Profit and loss'!B$26)*B15-(100%-'Profit and loss'!$G$23)*B30</f>
        <v>0</v>
      </c>
      <c r="N7" s="28">
        <f>(100%-'Profit and loss'!$G$23-'Profit and loss'!C$26)*C15-(100%-'Profit and loss'!$G$23)*C30</f>
        <v>0</v>
      </c>
      <c r="O7" s="28">
        <f>(100%-'Profit and loss'!$G$23-'Profit and loss'!D$26)*D15-(100%-'Profit and loss'!$G$23)*D30</f>
        <v>0</v>
      </c>
      <c r="P7" s="28">
        <f>(100%-'Profit and loss'!$G$23-'Profit and loss'!E$26)*E15-(100%-'Profit and loss'!$G$23)*E30</f>
        <v>0</v>
      </c>
      <c r="Q7" s="28">
        <f>(100%-'Profit and loss'!$G$23-'Profit and loss'!F$26)*F15-(100%-'Profit and loss'!$G$23)*F30</f>
        <v>0</v>
      </c>
      <c r="R7" s="2"/>
    </row>
    <row r="8" spans="1:18">
      <c r="A8" s="169"/>
      <c r="B8" s="180">
        <f t="shared" si="0"/>
        <v>0</v>
      </c>
      <c r="C8" s="180">
        <f t="shared" si="0"/>
        <v>0</v>
      </c>
      <c r="D8" s="180">
        <f t="shared" si="0"/>
        <v>0</v>
      </c>
      <c r="E8" s="180">
        <f t="shared" si="0"/>
        <v>0</v>
      </c>
      <c r="F8" s="181">
        <f t="shared" si="0"/>
        <v>0</v>
      </c>
      <c r="H8" s="29">
        <v>0</v>
      </c>
      <c r="I8" s="30">
        <f t="shared" ref="I8" si="9">H8</f>
        <v>0</v>
      </c>
      <c r="J8" s="30">
        <f t="shared" ref="J8" si="10">I8</f>
        <v>0</v>
      </c>
      <c r="K8" s="30">
        <f t="shared" ref="K8" si="11">J8</f>
        <v>0</v>
      </c>
      <c r="L8" s="30">
        <f t="shared" ref="L8" si="12">K8</f>
        <v>0</v>
      </c>
      <c r="M8" s="28">
        <f>(100%-'Profit and loss'!$G$23-'Profit and loss'!B$26)*B16-(100%-'Profit and loss'!$G$23)*B31</f>
        <v>0</v>
      </c>
      <c r="N8" s="28">
        <f>(100%-'Profit and loss'!$G$23-'Profit and loss'!C$26)*C16-(100%-'Profit and loss'!$G$23)*C31</f>
        <v>0</v>
      </c>
      <c r="O8" s="28">
        <f>(100%-'Profit and loss'!$G$23-'Profit and loss'!D$26)*D16-(100%-'Profit and loss'!$G$23)*D31</f>
        <v>0</v>
      </c>
      <c r="P8" s="28">
        <f>(100%-'Profit and loss'!$G$23-'Profit and loss'!E$26)*E16-(100%-'Profit and loss'!$G$23)*E31</f>
        <v>0</v>
      </c>
      <c r="Q8" s="28">
        <f>(100%-'Profit and loss'!$G$23-'Profit and loss'!F$26)*F16-(100%-'Profit and loss'!$G$23)*F31</f>
        <v>0</v>
      </c>
      <c r="R8" s="2"/>
    </row>
    <row r="9" spans="1:18">
      <c r="A9" s="172" t="s">
        <v>61</v>
      </c>
      <c r="B9" s="180">
        <f>SUM(B3:B8)</f>
        <v>0</v>
      </c>
      <c r="C9" s="180">
        <f>SUM(C3:C8)</f>
        <v>0</v>
      </c>
      <c r="D9" s="180">
        <f>SUM(D3:D8)</f>
        <v>0</v>
      </c>
      <c r="E9" s="180">
        <f>SUM(E3:E8)</f>
        <v>0</v>
      </c>
      <c r="F9" s="181">
        <f>SUM(F3:F8)</f>
        <v>0</v>
      </c>
    </row>
    <row r="10" spans="1:18">
      <c r="A10" s="165" t="s">
        <v>58</v>
      </c>
      <c r="B10" s="182" t="s">
        <v>18</v>
      </c>
      <c r="C10" s="182" t="s">
        <v>19</v>
      </c>
      <c r="D10" s="182" t="s">
        <v>20</v>
      </c>
      <c r="E10" s="182" t="s">
        <v>21</v>
      </c>
      <c r="F10" s="183" t="s">
        <v>22</v>
      </c>
      <c r="M10" s="271" t="s">
        <v>123</v>
      </c>
      <c r="N10" s="271"/>
      <c r="O10" s="271"/>
      <c r="P10" s="271"/>
      <c r="Q10" s="271"/>
    </row>
    <row r="11" spans="1:18">
      <c r="A11" s="184">
        <f t="shared" ref="A11:A16" si="13">A3</f>
        <v>0</v>
      </c>
      <c r="B11" s="170"/>
      <c r="C11" s="170">
        <f>'Sales forecast'!$B11</f>
        <v>0</v>
      </c>
      <c r="D11" s="170">
        <f>'Sales forecast'!$C11</f>
        <v>0</v>
      </c>
      <c r="E11" s="170">
        <f>'Sales forecast'!$D11</f>
        <v>0</v>
      </c>
      <c r="F11" s="171">
        <f>'Sales forecast'!$E11</f>
        <v>0</v>
      </c>
      <c r="M11" s="28">
        <f t="shared" ref="M11:Q16" si="14">H3*M3</f>
        <v>0</v>
      </c>
      <c r="N11" s="28">
        <f t="shared" si="14"/>
        <v>0</v>
      </c>
      <c r="O11" s="28">
        <f t="shared" si="14"/>
        <v>0</v>
      </c>
      <c r="P11" s="28">
        <f t="shared" si="14"/>
        <v>0</v>
      </c>
      <c r="Q11" s="28">
        <f t="shared" si="14"/>
        <v>0</v>
      </c>
    </row>
    <row r="12" spans="1:18">
      <c r="A12" s="184">
        <f t="shared" si="13"/>
        <v>0</v>
      </c>
      <c r="B12" s="170"/>
      <c r="C12" s="170">
        <f>'Sales forecast'!$B12</f>
        <v>0</v>
      </c>
      <c r="D12" s="170">
        <f>'Sales forecast'!$C12</f>
        <v>0</v>
      </c>
      <c r="E12" s="170">
        <f>'Sales forecast'!$D12</f>
        <v>0</v>
      </c>
      <c r="F12" s="171">
        <f>'Sales forecast'!$E12</f>
        <v>0</v>
      </c>
      <c r="M12" s="28">
        <f t="shared" si="14"/>
        <v>0</v>
      </c>
      <c r="N12" s="28">
        <f t="shared" si="14"/>
        <v>0</v>
      </c>
      <c r="O12" s="28">
        <f t="shared" si="14"/>
        <v>0</v>
      </c>
      <c r="P12" s="28">
        <f t="shared" si="14"/>
        <v>0</v>
      </c>
      <c r="Q12" s="28">
        <f t="shared" si="14"/>
        <v>0</v>
      </c>
    </row>
    <row r="13" spans="1:18">
      <c r="A13" s="184">
        <f t="shared" si="13"/>
        <v>0</v>
      </c>
      <c r="B13" s="170"/>
      <c r="C13" s="170">
        <f>'Sales forecast'!$B13</f>
        <v>0</v>
      </c>
      <c r="D13" s="170">
        <f>'Sales forecast'!$C13</f>
        <v>0</v>
      </c>
      <c r="E13" s="170">
        <f>'Sales forecast'!$D13</f>
        <v>0</v>
      </c>
      <c r="F13" s="171">
        <f>'Sales forecast'!$E13</f>
        <v>0</v>
      </c>
      <c r="M13" s="28">
        <f t="shared" si="14"/>
        <v>0</v>
      </c>
      <c r="N13" s="28">
        <f t="shared" si="14"/>
        <v>0</v>
      </c>
      <c r="O13" s="28">
        <f t="shared" si="14"/>
        <v>0</v>
      </c>
      <c r="P13" s="28">
        <f t="shared" si="14"/>
        <v>0</v>
      </c>
      <c r="Q13" s="28">
        <f t="shared" si="14"/>
        <v>0</v>
      </c>
    </row>
    <row r="14" spans="1:18">
      <c r="A14" s="184">
        <f t="shared" si="13"/>
        <v>0</v>
      </c>
      <c r="B14" s="170"/>
      <c r="C14" s="170">
        <f>'Sales forecast'!$B14</f>
        <v>0</v>
      </c>
      <c r="D14" s="170">
        <f>'Sales forecast'!$C14</f>
        <v>0</v>
      </c>
      <c r="E14" s="170">
        <f>'Sales forecast'!$D14</f>
        <v>0</v>
      </c>
      <c r="F14" s="171">
        <f>'Sales forecast'!$E14</f>
        <v>0</v>
      </c>
      <c r="M14" s="28">
        <f t="shared" si="14"/>
        <v>0</v>
      </c>
      <c r="N14" s="28">
        <f t="shared" si="14"/>
        <v>0</v>
      </c>
      <c r="O14" s="28">
        <f t="shared" si="14"/>
        <v>0</v>
      </c>
      <c r="P14" s="28">
        <f t="shared" si="14"/>
        <v>0</v>
      </c>
      <c r="Q14" s="28">
        <f t="shared" si="14"/>
        <v>0</v>
      </c>
    </row>
    <row r="15" spans="1:18">
      <c r="A15" s="184">
        <f t="shared" si="13"/>
        <v>0</v>
      </c>
      <c r="B15" s="170"/>
      <c r="C15" s="170">
        <f>'Sales forecast'!$B15</f>
        <v>0</v>
      </c>
      <c r="D15" s="170">
        <f>'Sales forecast'!$C15</f>
        <v>0</v>
      </c>
      <c r="E15" s="170">
        <f>'Sales forecast'!$D15</f>
        <v>0</v>
      </c>
      <c r="F15" s="171">
        <f>'Sales forecast'!$E15</f>
        <v>0</v>
      </c>
      <c r="M15" s="28">
        <f t="shared" si="14"/>
        <v>0</v>
      </c>
      <c r="N15" s="28">
        <f t="shared" si="14"/>
        <v>0</v>
      </c>
      <c r="O15" s="28">
        <f t="shared" si="14"/>
        <v>0</v>
      </c>
      <c r="P15" s="28">
        <f t="shared" si="14"/>
        <v>0</v>
      </c>
      <c r="Q15" s="28">
        <f t="shared" si="14"/>
        <v>0</v>
      </c>
    </row>
    <row r="16" spans="1:18">
      <c r="A16" s="184">
        <f t="shared" si="13"/>
        <v>0</v>
      </c>
      <c r="B16" s="170"/>
      <c r="C16" s="170">
        <f>'Sales forecast'!$B16</f>
        <v>0</v>
      </c>
      <c r="D16" s="170">
        <f>'Sales forecast'!$C16</f>
        <v>0</v>
      </c>
      <c r="E16" s="170">
        <f>'Sales forecast'!$D16</f>
        <v>0</v>
      </c>
      <c r="F16" s="171">
        <f>'Sales forecast'!$E16</f>
        <v>0</v>
      </c>
      <c r="M16" s="28">
        <f t="shared" si="14"/>
        <v>0</v>
      </c>
      <c r="N16" s="28">
        <f t="shared" si="14"/>
        <v>0</v>
      </c>
      <c r="O16" s="28">
        <f t="shared" si="14"/>
        <v>0</v>
      </c>
      <c r="P16" s="28">
        <f t="shared" si="14"/>
        <v>0</v>
      </c>
      <c r="Q16" s="28">
        <f t="shared" si="14"/>
        <v>0</v>
      </c>
    </row>
    <row r="17" spans="1:17">
      <c r="A17" s="165" t="s">
        <v>30</v>
      </c>
      <c r="B17" s="185"/>
      <c r="C17" s="186"/>
      <c r="D17" s="186"/>
      <c r="E17" s="186"/>
      <c r="F17" s="187"/>
      <c r="H17" s="26"/>
      <c r="I17" s="26"/>
      <c r="J17" s="26"/>
      <c r="K17" s="26"/>
      <c r="L17" s="264" t="s">
        <v>76</v>
      </c>
      <c r="M17" s="265">
        <f>IF(SUM(M11:M16)=0,0,(100%-'Profit and loss'!$G$23)*'Profit and loss'!B$19/SUM(M11:M16))</f>
        <v>0</v>
      </c>
      <c r="N17" s="265">
        <f>IF(SUM(N11:N16)=0,0,(100%-'Profit and loss'!$G$23)*'Profit and loss'!C$19/SUM(N11:N16))</f>
        <v>0</v>
      </c>
      <c r="O17" s="265">
        <f>IF(SUM(O11:O16)=0,0,(100%-'Profit and loss'!$G$23)*'Profit and loss'!D$19/SUM(O11:O16))</f>
        <v>0</v>
      </c>
      <c r="P17" s="265">
        <f>IF(SUM(P11:P16)=0,0,(100%-'Profit and loss'!$G$23)*'Profit and loss'!E$19/SUM(P11:P16))</f>
        <v>0</v>
      </c>
      <c r="Q17" s="265">
        <f>IF(SUM(Q11:Q16)=0,0,(100%-'Profit and loss'!$G$23)*'Profit and loss'!F$19/SUM(Q11:Q16))</f>
        <v>0</v>
      </c>
    </row>
    <row r="18" spans="1:17">
      <c r="A18" s="169">
        <f t="shared" ref="A18:A23" si="15">A3</f>
        <v>0</v>
      </c>
      <c r="B18" s="170">
        <f t="shared" ref="B18:F23" si="16">B3*B11</f>
        <v>0</v>
      </c>
      <c r="C18" s="170">
        <f t="shared" si="16"/>
        <v>0</v>
      </c>
      <c r="D18" s="170">
        <f t="shared" si="16"/>
        <v>0</v>
      </c>
      <c r="E18" s="170">
        <f t="shared" si="16"/>
        <v>0</v>
      </c>
      <c r="F18" s="171">
        <f t="shared" si="16"/>
        <v>0</v>
      </c>
    </row>
    <row r="19" spans="1:17">
      <c r="A19" s="169">
        <f t="shared" si="15"/>
        <v>0</v>
      </c>
      <c r="B19" s="170">
        <f t="shared" si="16"/>
        <v>0</v>
      </c>
      <c r="C19" s="170">
        <f t="shared" si="16"/>
        <v>0</v>
      </c>
      <c r="D19" s="170">
        <f t="shared" si="16"/>
        <v>0</v>
      </c>
      <c r="E19" s="170">
        <f t="shared" si="16"/>
        <v>0</v>
      </c>
      <c r="F19" s="171">
        <f t="shared" si="16"/>
        <v>0</v>
      </c>
    </row>
    <row r="20" spans="1:17">
      <c r="A20" s="169">
        <f t="shared" si="15"/>
        <v>0</v>
      </c>
      <c r="B20" s="170">
        <f t="shared" si="16"/>
        <v>0</v>
      </c>
      <c r="C20" s="170">
        <f t="shared" si="16"/>
        <v>0</v>
      </c>
      <c r="D20" s="170">
        <f t="shared" si="16"/>
        <v>0</v>
      </c>
      <c r="E20" s="170">
        <f t="shared" si="16"/>
        <v>0</v>
      </c>
      <c r="F20" s="171">
        <f t="shared" si="16"/>
        <v>0</v>
      </c>
    </row>
    <row r="21" spans="1:17">
      <c r="A21" s="169">
        <f t="shared" si="15"/>
        <v>0</v>
      </c>
      <c r="B21" s="170">
        <f t="shared" si="16"/>
        <v>0</v>
      </c>
      <c r="C21" s="170">
        <f t="shared" si="16"/>
        <v>0</v>
      </c>
      <c r="D21" s="170">
        <f t="shared" si="16"/>
        <v>0</v>
      </c>
      <c r="E21" s="170">
        <f t="shared" si="16"/>
        <v>0</v>
      </c>
      <c r="F21" s="171">
        <f t="shared" si="16"/>
        <v>0</v>
      </c>
    </row>
    <row r="22" spans="1:17">
      <c r="A22" s="169">
        <f t="shared" si="15"/>
        <v>0</v>
      </c>
      <c r="B22" s="170">
        <f t="shared" si="16"/>
        <v>0</v>
      </c>
      <c r="C22" s="170">
        <f t="shared" si="16"/>
        <v>0</v>
      </c>
      <c r="D22" s="170">
        <f t="shared" si="16"/>
        <v>0</v>
      </c>
      <c r="E22" s="170">
        <f t="shared" si="16"/>
        <v>0</v>
      </c>
      <c r="F22" s="171">
        <f t="shared" si="16"/>
        <v>0</v>
      </c>
    </row>
    <row r="23" spans="1:17">
      <c r="A23" s="169">
        <f t="shared" si="15"/>
        <v>0</v>
      </c>
      <c r="B23" s="170">
        <f t="shared" si="16"/>
        <v>0</v>
      </c>
      <c r="C23" s="170">
        <f t="shared" si="16"/>
        <v>0</v>
      </c>
      <c r="D23" s="170">
        <f t="shared" si="16"/>
        <v>0</v>
      </c>
      <c r="E23" s="170">
        <f t="shared" si="16"/>
        <v>0</v>
      </c>
      <c r="F23" s="171">
        <f t="shared" si="16"/>
        <v>0</v>
      </c>
    </row>
    <row r="24" spans="1:17">
      <c r="A24" s="172" t="s">
        <v>62</v>
      </c>
      <c r="B24" s="170">
        <f>SUM(B18:B23)</f>
        <v>0</v>
      </c>
      <c r="C24" s="170">
        <f>SUM(C18:C23)</f>
        <v>0</v>
      </c>
      <c r="D24" s="170">
        <f>SUM(D18:D23)</f>
        <v>0</v>
      </c>
      <c r="E24" s="170">
        <f>SUM(E18:E23)</f>
        <v>0</v>
      </c>
      <c r="F24" s="171">
        <f>SUM(F18:F23)</f>
        <v>0</v>
      </c>
    </row>
    <row r="25" spans="1:17">
      <c r="A25" s="165" t="s">
        <v>57</v>
      </c>
      <c r="B25" s="71" t="s">
        <v>18</v>
      </c>
      <c r="C25" s="71" t="s">
        <v>19</v>
      </c>
      <c r="D25" s="71" t="s">
        <v>20</v>
      </c>
      <c r="E25" s="71" t="s">
        <v>21</v>
      </c>
      <c r="F25" s="70" t="s">
        <v>22</v>
      </c>
      <c r="M25" s="272" t="s">
        <v>130</v>
      </c>
      <c r="N25" s="272"/>
      <c r="O25" s="272"/>
      <c r="P25" s="272"/>
      <c r="Q25" s="272"/>
    </row>
    <row r="26" spans="1:17">
      <c r="A26" s="184">
        <f t="shared" ref="A26:A31" si="17">A3</f>
        <v>0</v>
      </c>
      <c r="B26" s="170"/>
      <c r="C26" s="170">
        <f>'Sales forecast'!$B26</f>
        <v>0</v>
      </c>
      <c r="D26" s="170">
        <f>'Sales forecast'!$C26</f>
        <v>0</v>
      </c>
      <c r="E26" s="170">
        <f>'Sales forecast'!$D26</f>
        <v>0</v>
      </c>
      <c r="F26" s="171">
        <f>'Sales forecast'!$E26</f>
        <v>0</v>
      </c>
      <c r="H26" s="6"/>
      <c r="I26" s="6"/>
      <c r="J26" s="6"/>
      <c r="K26" s="6"/>
      <c r="L26" s="6"/>
      <c r="M26" s="266">
        <f t="shared" ref="M26:Q31" si="18">H3*(B11-B26)</f>
        <v>0</v>
      </c>
      <c r="N26" s="266">
        <f t="shared" si="18"/>
        <v>0</v>
      </c>
      <c r="O26" s="266">
        <f t="shared" si="18"/>
        <v>0</v>
      </c>
      <c r="P26" s="266">
        <f t="shared" si="18"/>
        <v>0</v>
      </c>
      <c r="Q26" s="266">
        <f t="shared" si="18"/>
        <v>0</v>
      </c>
    </row>
    <row r="27" spans="1:17">
      <c r="A27" s="184">
        <f t="shared" si="17"/>
        <v>0</v>
      </c>
      <c r="B27" s="170"/>
      <c r="C27" s="170">
        <f>'Sales forecast'!$B27</f>
        <v>0</v>
      </c>
      <c r="D27" s="170">
        <f>'Sales forecast'!$C27</f>
        <v>0</v>
      </c>
      <c r="E27" s="170">
        <f>'Sales forecast'!$D27</f>
        <v>0</v>
      </c>
      <c r="F27" s="171">
        <f>'Sales forecast'!$E27</f>
        <v>0</v>
      </c>
      <c r="H27" s="6"/>
      <c r="I27" s="6"/>
      <c r="J27" s="6"/>
      <c r="K27" s="6"/>
      <c r="L27" s="6"/>
      <c r="M27" s="266">
        <f t="shared" si="18"/>
        <v>0</v>
      </c>
      <c r="N27" s="266">
        <f t="shared" si="18"/>
        <v>0</v>
      </c>
      <c r="O27" s="266">
        <f t="shared" si="18"/>
        <v>0</v>
      </c>
      <c r="P27" s="266">
        <f t="shared" si="18"/>
        <v>0</v>
      </c>
      <c r="Q27" s="266">
        <f t="shared" si="18"/>
        <v>0</v>
      </c>
    </row>
    <row r="28" spans="1:17">
      <c r="A28" s="184">
        <f t="shared" si="17"/>
        <v>0</v>
      </c>
      <c r="B28" s="170"/>
      <c r="C28" s="170">
        <f>'Sales forecast'!$B28</f>
        <v>0</v>
      </c>
      <c r="D28" s="170">
        <f>'Sales forecast'!$C28</f>
        <v>0</v>
      </c>
      <c r="E28" s="170">
        <f>'Sales forecast'!$D28</f>
        <v>0</v>
      </c>
      <c r="F28" s="171">
        <f>'Sales forecast'!$E28</f>
        <v>0</v>
      </c>
      <c r="H28" s="6"/>
      <c r="I28" s="6"/>
      <c r="J28" s="6"/>
      <c r="K28" s="6"/>
      <c r="L28" s="6"/>
      <c r="M28" s="266">
        <f t="shared" si="18"/>
        <v>0</v>
      </c>
      <c r="N28" s="266">
        <f t="shared" si="18"/>
        <v>0</v>
      </c>
      <c r="O28" s="266">
        <f t="shared" si="18"/>
        <v>0</v>
      </c>
      <c r="P28" s="266">
        <f t="shared" si="18"/>
        <v>0</v>
      </c>
      <c r="Q28" s="266">
        <f t="shared" si="18"/>
        <v>0</v>
      </c>
    </row>
    <row r="29" spans="1:17">
      <c r="A29" s="184">
        <f t="shared" si="17"/>
        <v>0</v>
      </c>
      <c r="B29" s="170"/>
      <c r="C29" s="170">
        <f>'Sales forecast'!$B29</f>
        <v>0</v>
      </c>
      <c r="D29" s="170">
        <f>'Sales forecast'!$C29</f>
        <v>0</v>
      </c>
      <c r="E29" s="170">
        <f>'Sales forecast'!$D29</f>
        <v>0</v>
      </c>
      <c r="F29" s="171">
        <f>'Sales forecast'!$E29</f>
        <v>0</v>
      </c>
      <c r="H29" s="6"/>
      <c r="I29" s="6"/>
      <c r="J29" s="6"/>
      <c r="K29" s="6"/>
      <c r="L29" s="6"/>
      <c r="M29" s="266">
        <f t="shared" si="18"/>
        <v>0</v>
      </c>
      <c r="N29" s="266">
        <f t="shared" si="18"/>
        <v>0</v>
      </c>
      <c r="O29" s="266">
        <f t="shared" si="18"/>
        <v>0</v>
      </c>
      <c r="P29" s="266">
        <f t="shared" si="18"/>
        <v>0</v>
      </c>
      <c r="Q29" s="266">
        <f t="shared" si="18"/>
        <v>0</v>
      </c>
    </row>
    <row r="30" spans="1:17">
      <c r="A30" s="184">
        <f t="shared" si="17"/>
        <v>0</v>
      </c>
      <c r="B30" s="170"/>
      <c r="C30" s="170">
        <f>'Sales forecast'!$B30</f>
        <v>0</v>
      </c>
      <c r="D30" s="170">
        <f>'Sales forecast'!$C30</f>
        <v>0</v>
      </c>
      <c r="E30" s="170">
        <f>'Sales forecast'!$D30</f>
        <v>0</v>
      </c>
      <c r="F30" s="171">
        <f>'Sales forecast'!$E30</f>
        <v>0</v>
      </c>
      <c r="H30" s="6"/>
      <c r="I30" s="6"/>
      <c r="J30" s="6"/>
      <c r="K30" s="6"/>
      <c r="L30" s="6"/>
      <c r="M30" s="266">
        <f t="shared" si="18"/>
        <v>0</v>
      </c>
      <c r="N30" s="266">
        <f t="shared" si="18"/>
        <v>0</v>
      </c>
      <c r="O30" s="266">
        <f t="shared" si="18"/>
        <v>0</v>
      </c>
      <c r="P30" s="266">
        <f t="shared" si="18"/>
        <v>0</v>
      </c>
      <c r="Q30" s="266">
        <f t="shared" si="18"/>
        <v>0</v>
      </c>
    </row>
    <row r="31" spans="1:17">
      <c r="A31" s="184">
        <f t="shared" si="17"/>
        <v>0</v>
      </c>
      <c r="B31" s="170"/>
      <c r="C31" s="170">
        <f>'Sales forecast'!$B31</f>
        <v>0</v>
      </c>
      <c r="D31" s="170">
        <f>'Sales forecast'!$C31</f>
        <v>0</v>
      </c>
      <c r="E31" s="170">
        <f>'Sales forecast'!$D31</f>
        <v>0</v>
      </c>
      <c r="F31" s="171">
        <f>'Sales forecast'!$E31</f>
        <v>0</v>
      </c>
      <c r="H31" s="6"/>
      <c r="I31" s="6"/>
      <c r="J31" s="6"/>
      <c r="K31" s="6"/>
      <c r="L31" s="6"/>
      <c r="M31" s="266">
        <f t="shared" si="18"/>
        <v>0</v>
      </c>
      <c r="N31" s="266">
        <f t="shared" si="18"/>
        <v>0</v>
      </c>
      <c r="O31" s="266">
        <f t="shared" si="18"/>
        <v>0</v>
      </c>
      <c r="P31" s="266">
        <f t="shared" si="18"/>
        <v>0</v>
      </c>
      <c r="Q31" s="266">
        <f t="shared" si="18"/>
        <v>0</v>
      </c>
    </row>
    <row r="32" spans="1:17">
      <c r="A32" s="173" t="s">
        <v>31</v>
      </c>
      <c r="B32" s="174"/>
      <c r="C32" s="175"/>
      <c r="D32" s="175"/>
      <c r="E32" s="175"/>
      <c r="F32" s="176"/>
      <c r="H32" s="27"/>
      <c r="I32" s="27"/>
      <c r="J32" s="27"/>
      <c r="K32" s="27"/>
      <c r="L32" s="27" t="s">
        <v>129</v>
      </c>
      <c r="M32" s="267">
        <f>SUM(M26:M31)</f>
        <v>0</v>
      </c>
      <c r="N32" s="267">
        <f>SUM(N26:N31)</f>
        <v>0</v>
      </c>
      <c r="O32" s="267">
        <f>SUM(O26:O31)</f>
        <v>0</v>
      </c>
      <c r="P32" s="267">
        <f>SUM(P26:P31)</f>
        <v>0</v>
      </c>
      <c r="Q32" s="267">
        <f>SUM(Q26:Q31)</f>
        <v>0</v>
      </c>
    </row>
    <row r="33" spans="1:17">
      <c r="A33" s="184">
        <f t="shared" ref="A33:A38" si="19">A3</f>
        <v>0</v>
      </c>
      <c r="B33" s="170">
        <f t="shared" ref="B33:F38" si="20">B3*B26</f>
        <v>0</v>
      </c>
      <c r="C33" s="170">
        <f t="shared" si="20"/>
        <v>0</v>
      </c>
      <c r="D33" s="170">
        <f t="shared" si="20"/>
        <v>0</v>
      </c>
      <c r="E33" s="170">
        <f t="shared" si="20"/>
        <v>0</v>
      </c>
      <c r="F33" s="171">
        <f t="shared" si="20"/>
        <v>0</v>
      </c>
      <c r="M33" s="266">
        <f t="shared" ref="M33:Q38" si="21">H3*B11</f>
        <v>0</v>
      </c>
      <c r="N33" s="266">
        <f t="shared" si="21"/>
        <v>0</v>
      </c>
      <c r="O33" s="266">
        <f t="shared" si="21"/>
        <v>0</v>
      </c>
      <c r="P33" s="266">
        <f t="shared" si="21"/>
        <v>0</v>
      </c>
      <c r="Q33" s="266">
        <f t="shared" si="21"/>
        <v>0</v>
      </c>
    </row>
    <row r="34" spans="1:17">
      <c r="A34" s="184">
        <f t="shared" si="19"/>
        <v>0</v>
      </c>
      <c r="B34" s="170">
        <f t="shared" si="20"/>
        <v>0</v>
      </c>
      <c r="C34" s="170">
        <f t="shared" si="20"/>
        <v>0</v>
      </c>
      <c r="D34" s="170">
        <f t="shared" si="20"/>
        <v>0</v>
      </c>
      <c r="E34" s="170">
        <f t="shared" si="20"/>
        <v>0</v>
      </c>
      <c r="F34" s="171">
        <f t="shared" si="20"/>
        <v>0</v>
      </c>
      <c r="M34" s="266">
        <f t="shared" si="21"/>
        <v>0</v>
      </c>
      <c r="N34" s="266">
        <f t="shared" si="21"/>
        <v>0</v>
      </c>
      <c r="O34" s="266">
        <f t="shared" si="21"/>
        <v>0</v>
      </c>
      <c r="P34" s="266">
        <f t="shared" si="21"/>
        <v>0</v>
      </c>
      <c r="Q34" s="266">
        <f t="shared" si="21"/>
        <v>0</v>
      </c>
    </row>
    <row r="35" spans="1:17">
      <c r="A35" s="184">
        <f t="shared" si="19"/>
        <v>0</v>
      </c>
      <c r="B35" s="170">
        <f t="shared" si="20"/>
        <v>0</v>
      </c>
      <c r="C35" s="170">
        <f t="shared" si="20"/>
        <v>0</v>
      </c>
      <c r="D35" s="170">
        <f t="shared" si="20"/>
        <v>0</v>
      </c>
      <c r="E35" s="170">
        <f t="shared" si="20"/>
        <v>0</v>
      </c>
      <c r="F35" s="171">
        <f t="shared" si="20"/>
        <v>0</v>
      </c>
      <c r="M35" s="266">
        <f t="shared" si="21"/>
        <v>0</v>
      </c>
      <c r="N35" s="266">
        <f t="shared" si="21"/>
        <v>0</v>
      </c>
      <c r="O35" s="266">
        <f t="shared" si="21"/>
        <v>0</v>
      </c>
      <c r="P35" s="266">
        <f t="shared" si="21"/>
        <v>0</v>
      </c>
      <c r="Q35" s="266">
        <f t="shared" si="21"/>
        <v>0</v>
      </c>
    </row>
    <row r="36" spans="1:17">
      <c r="A36" s="184">
        <f t="shared" si="19"/>
        <v>0</v>
      </c>
      <c r="B36" s="170">
        <f t="shared" si="20"/>
        <v>0</v>
      </c>
      <c r="C36" s="170">
        <f t="shared" si="20"/>
        <v>0</v>
      </c>
      <c r="D36" s="170">
        <f t="shared" si="20"/>
        <v>0</v>
      </c>
      <c r="E36" s="170">
        <f t="shared" si="20"/>
        <v>0</v>
      </c>
      <c r="F36" s="171">
        <f t="shared" si="20"/>
        <v>0</v>
      </c>
      <c r="M36" s="266">
        <f t="shared" si="21"/>
        <v>0</v>
      </c>
      <c r="N36" s="266">
        <f t="shared" si="21"/>
        <v>0</v>
      </c>
      <c r="O36" s="266">
        <f t="shared" si="21"/>
        <v>0</v>
      </c>
      <c r="P36" s="266">
        <f t="shared" si="21"/>
        <v>0</v>
      </c>
      <c r="Q36" s="266">
        <f t="shared" si="21"/>
        <v>0</v>
      </c>
    </row>
    <row r="37" spans="1:17">
      <c r="A37" s="184">
        <f t="shared" si="19"/>
        <v>0</v>
      </c>
      <c r="B37" s="170">
        <f t="shared" si="20"/>
        <v>0</v>
      </c>
      <c r="C37" s="170">
        <f t="shared" si="20"/>
        <v>0</v>
      </c>
      <c r="D37" s="170">
        <f t="shared" si="20"/>
        <v>0</v>
      </c>
      <c r="E37" s="170">
        <f t="shared" si="20"/>
        <v>0</v>
      </c>
      <c r="F37" s="171">
        <f t="shared" si="20"/>
        <v>0</v>
      </c>
      <c r="M37" s="266">
        <f t="shared" si="21"/>
        <v>0</v>
      </c>
      <c r="N37" s="266">
        <f t="shared" si="21"/>
        <v>0</v>
      </c>
      <c r="O37" s="266">
        <f t="shared" si="21"/>
        <v>0</v>
      </c>
      <c r="P37" s="266">
        <f t="shared" si="21"/>
        <v>0</v>
      </c>
      <c r="Q37" s="266">
        <f t="shared" si="21"/>
        <v>0</v>
      </c>
    </row>
    <row r="38" spans="1:17">
      <c r="A38" s="184">
        <f t="shared" si="19"/>
        <v>0</v>
      </c>
      <c r="B38" s="170">
        <f t="shared" si="20"/>
        <v>0</v>
      </c>
      <c r="C38" s="170">
        <f t="shared" si="20"/>
        <v>0</v>
      </c>
      <c r="D38" s="170">
        <f t="shared" si="20"/>
        <v>0</v>
      </c>
      <c r="E38" s="170">
        <f t="shared" si="20"/>
        <v>0</v>
      </c>
      <c r="F38" s="171">
        <f t="shared" si="20"/>
        <v>0</v>
      </c>
      <c r="M38" s="266">
        <f t="shared" si="21"/>
        <v>0</v>
      </c>
      <c r="N38" s="266">
        <f t="shared" si="21"/>
        <v>0</v>
      </c>
      <c r="O38" s="266">
        <f t="shared" si="21"/>
        <v>0</v>
      </c>
      <c r="P38" s="266">
        <f t="shared" si="21"/>
        <v>0</v>
      </c>
      <c r="Q38" s="266">
        <f t="shared" si="21"/>
        <v>0</v>
      </c>
    </row>
    <row r="39" spans="1:17">
      <c r="A39" s="177" t="s">
        <v>63</v>
      </c>
      <c r="B39" s="178">
        <f>SUM(B33:B38)</f>
        <v>0</v>
      </c>
      <c r="C39" s="178">
        <f>SUM(C33:C38)</f>
        <v>0</v>
      </c>
      <c r="D39" s="178">
        <f>SUM(D33:D38)</f>
        <v>0</v>
      </c>
      <c r="E39" s="178">
        <f>SUM(E33:E38)</f>
        <v>0</v>
      </c>
      <c r="F39" s="179">
        <f>SUM(F33:F38)</f>
        <v>0</v>
      </c>
      <c r="I39" s="27"/>
      <c r="J39" s="27"/>
      <c r="K39" s="27"/>
      <c r="L39" s="27" t="s">
        <v>129</v>
      </c>
      <c r="M39" s="267">
        <f>SUM(M33:M38)</f>
        <v>0</v>
      </c>
      <c r="N39" s="267">
        <f>SUM(N33:N38)</f>
        <v>0</v>
      </c>
      <c r="O39" s="267">
        <f>SUM(O33:O38)</f>
        <v>0</v>
      </c>
      <c r="P39" s="267">
        <f>SUM(P33:P38)</f>
        <v>0</v>
      </c>
      <c r="Q39" s="267">
        <f>SUM(Q33:Q38)</f>
        <v>0</v>
      </c>
    </row>
  </sheetData>
  <sheetProtection formatCells="0" insertRows="0" deleteRows="0"/>
  <mergeCells count="4">
    <mergeCell ref="M2:Q2"/>
    <mergeCell ref="M10:Q10"/>
    <mergeCell ref="M25:Q25"/>
    <mergeCell ref="H1:L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addSale">
              <controlPr defaultSize="0" print="0" autoFill="0" autoPict="0" macro="[0]!AddSale_Click">
                <anchor moveWithCells="1">
                  <from>
                    <xdr:col>6</xdr:col>
                    <xdr:colOff>28575</xdr:colOff>
                    <xdr:row>0</xdr:row>
                    <xdr:rowOff>28575</xdr:rowOff>
                  </from>
                  <to>
                    <xdr:col>6</xdr:col>
                    <xdr:colOff>581025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deleteSale">
              <controlPr defaultSize="0" print="0" autoFill="0" autoPict="0" macro="[0]!DeleteSale_Click">
                <anchor moveWithCells="1">
                  <from>
                    <xdr:col>6</xdr:col>
                    <xdr:colOff>28575</xdr:colOff>
                    <xdr:row>2</xdr:row>
                    <xdr:rowOff>123825</xdr:rowOff>
                  </from>
                  <to>
                    <xdr:col>6</xdr:col>
                    <xdr:colOff>581025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N29"/>
  <sheetViews>
    <sheetView zoomScale="150" zoomScaleNormal="150" workbookViewId="0"/>
  </sheetViews>
  <sheetFormatPr defaultRowHeight="12"/>
  <cols>
    <col min="1" max="1" width="26.140625" style="8" bestFit="1" customWidth="1"/>
    <col min="2" max="6" width="14.28515625" style="8" customWidth="1"/>
    <col min="7" max="7" width="9.140625" style="8"/>
    <col min="8" max="8" width="12" style="8" bestFit="1" customWidth="1"/>
    <col min="9" max="16384" width="9.140625" style="8"/>
  </cols>
  <sheetData>
    <row r="1" spans="1:14">
      <c r="A1" s="84" t="s">
        <v>29</v>
      </c>
      <c r="B1" s="84" t="s">
        <v>18</v>
      </c>
      <c r="C1" s="84" t="s">
        <v>19</v>
      </c>
      <c r="D1" s="84" t="s">
        <v>20</v>
      </c>
      <c r="E1" s="84" t="s">
        <v>21</v>
      </c>
      <c r="F1" s="85" t="s">
        <v>22</v>
      </c>
    </row>
    <row r="2" spans="1:14">
      <c r="A2" s="86" t="s">
        <v>30</v>
      </c>
      <c r="B2" s="87">
        <f>IF('Sales forecast'!B24=0,'Sales forecast-vb'!B7,'Sales forecast'!B24)</f>
        <v>0</v>
      </c>
      <c r="C2" s="87">
        <f>IF('Sales forecast'!C24=0,'Sales forecast-vb'!C7,'Sales forecast'!C24)</f>
        <v>0</v>
      </c>
      <c r="D2" s="87">
        <f>IF('Sales forecast'!D24=0,'Sales forecast-vb'!D7,'Sales forecast'!D24)</f>
        <v>0</v>
      </c>
      <c r="E2" s="87">
        <f>IF('Sales forecast'!E24=0,'Sales forecast-vb'!E7,'Sales forecast'!E24)</f>
        <v>0</v>
      </c>
      <c r="F2" s="88">
        <f>IF('Sales forecast'!F24=0,'Sales forecast-vb'!F7,'Sales forecast'!F24)</f>
        <v>0</v>
      </c>
    </row>
    <row r="3" spans="1:14">
      <c r="A3" s="89" t="s">
        <v>31</v>
      </c>
      <c r="B3" s="90">
        <f>IF('Sales forecast'!B39=0,'Sales forecast-vb'!B13,'Sales forecast'!B39)</f>
        <v>0</v>
      </c>
      <c r="C3" s="90">
        <f>IF('Sales forecast'!C39=0,'Sales forecast-vb'!C13,'Sales forecast'!C39)</f>
        <v>0</v>
      </c>
      <c r="D3" s="90">
        <f>IF('Sales forecast'!D39=0,'Sales forecast-vb'!D13,'Sales forecast'!D39)</f>
        <v>0</v>
      </c>
      <c r="E3" s="90">
        <f>IF('Sales forecast'!E39=0,'Sales forecast-vb'!E13,'Sales forecast'!E39)</f>
        <v>0</v>
      </c>
      <c r="F3" s="91">
        <f>IF('Sales forecast'!F39=0,'Sales forecast-vb'!F13,'Sales forecast'!F39)</f>
        <v>0</v>
      </c>
      <c r="N3" s="16"/>
    </row>
    <row r="4" spans="1:14">
      <c r="A4" s="92" t="s">
        <v>32</v>
      </c>
      <c r="B4" s="90">
        <f>SUM(B3:B3)</f>
        <v>0</v>
      </c>
      <c r="C4" s="90">
        <f>SUM(C3:C3)</f>
        <v>0</v>
      </c>
      <c r="D4" s="90">
        <f>SUM(D3:D3)</f>
        <v>0</v>
      </c>
      <c r="E4" s="90">
        <f>SUM(E3:E3)</f>
        <v>0</v>
      </c>
      <c r="F4" s="91">
        <f>SUM(F3:F3)</f>
        <v>0</v>
      </c>
    </row>
    <row r="5" spans="1:14">
      <c r="A5" s="89" t="s">
        <v>33</v>
      </c>
      <c r="B5" s="90">
        <f>B2-B4</f>
        <v>0</v>
      </c>
      <c r="C5" s="90">
        <f>C2-C4</f>
        <v>0</v>
      </c>
      <c r="D5" s="90">
        <f>D2-D4</f>
        <v>0</v>
      </c>
      <c r="E5" s="90">
        <f>E2-E4</f>
        <v>0</v>
      </c>
      <c r="F5" s="91">
        <f>F2-F4</f>
        <v>0</v>
      </c>
    </row>
    <row r="6" spans="1:14">
      <c r="A6" s="89" t="s">
        <v>34</v>
      </c>
      <c r="B6" s="93">
        <f>IF(B2=0,0,B5/B2)</f>
        <v>0</v>
      </c>
      <c r="C6" s="93">
        <f>IF(C2=0,0,C5/C2)</f>
        <v>0</v>
      </c>
      <c r="D6" s="93">
        <f>IF(D2=0,0,D5/D2)</f>
        <v>0</v>
      </c>
      <c r="E6" s="93">
        <f>IF(E2=0,0,E5/E2)</f>
        <v>0</v>
      </c>
      <c r="F6" s="94">
        <f>IF(F2=0,0,F5/F2)</f>
        <v>0</v>
      </c>
    </row>
    <row r="7" spans="1:14">
      <c r="A7" s="86" t="s">
        <v>25</v>
      </c>
      <c r="B7" s="95"/>
      <c r="C7" s="96"/>
      <c r="D7" s="96"/>
      <c r="E7" s="96"/>
      <c r="F7" s="97"/>
      <c r="G7" s="207" t="s">
        <v>74</v>
      </c>
    </row>
    <row r="8" spans="1:14">
      <c r="A8" s="89" t="s">
        <v>35</v>
      </c>
      <c r="B8" s="98">
        <f>Personnel!B26</f>
        <v>0</v>
      </c>
      <c r="C8" s="98">
        <f>Personnel!C26</f>
        <v>0</v>
      </c>
      <c r="D8" s="98">
        <f>Personnel!D26</f>
        <v>0</v>
      </c>
      <c r="E8" s="98">
        <f>Personnel!E26</f>
        <v>0</v>
      </c>
      <c r="F8" s="99">
        <f>Personnel!F26</f>
        <v>0</v>
      </c>
    </row>
    <row r="9" spans="1:14">
      <c r="A9" s="89" t="s">
        <v>65</v>
      </c>
      <c r="B9" s="98"/>
      <c r="C9" s="98">
        <f>'Profit and loss'!$B9*(100%+$G$9)</f>
        <v>0</v>
      </c>
      <c r="D9" s="98">
        <f>'Profit and loss'!$C9*(100%+$G$9)</f>
        <v>0</v>
      </c>
      <c r="E9" s="98">
        <f>'Profit and loss'!$D9*(100%+$G$9)</f>
        <v>0</v>
      </c>
      <c r="F9" s="99">
        <f>'Profit and loss'!$E9*(100%+$G$9)</f>
        <v>0</v>
      </c>
      <c r="G9" s="17">
        <v>0.05</v>
      </c>
    </row>
    <row r="10" spans="1:14">
      <c r="A10" s="89" t="s">
        <v>28</v>
      </c>
      <c r="B10" s="98">
        <f>'Start-up'!B16*G10</f>
        <v>0</v>
      </c>
      <c r="C10" s="98">
        <f>'Profit and loss'!$B10</f>
        <v>0</v>
      </c>
      <c r="D10" s="98">
        <f>'Profit and loss'!$C10</f>
        <v>0</v>
      </c>
      <c r="E10" s="98">
        <f>'Profit and loss'!$D10</f>
        <v>0</v>
      </c>
      <c r="F10" s="99">
        <f>'Profit and loss'!$E10</f>
        <v>0</v>
      </c>
      <c r="G10" s="17">
        <v>0.1</v>
      </c>
    </row>
    <row r="11" spans="1:14">
      <c r="A11" s="89" t="s">
        <v>16</v>
      </c>
      <c r="B11" s="98"/>
      <c r="C11" s="98">
        <f>B11*(100%+$G11)</f>
        <v>0</v>
      </c>
      <c r="D11" s="98">
        <f t="shared" ref="D11:F11" si="0">C11*(100%+$G11)</f>
        <v>0</v>
      </c>
      <c r="E11" s="98">
        <f t="shared" si="0"/>
        <v>0</v>
      </c>
      <c r="F11" s="99">
        <f t="shared" si="0"/>
        <v>0</v>
      </c>
      <c r="G11" s="17">
        <v>0</v>
      </c>
    </row>
    <row r="12" spans="1:14">
      <c r="A12" s="89" t="s">
        <v>125</v>
      </c>
      <c r="B12" s="98"/>
      <c r="C12" s="98">
        <f t="shared" ref="C12:F15" si="1">B12*(100%+$G12)</f>
        <v>0</v>
      </c>
      <c r="D12" s="98">
        <f t="shared" si="1"/>
        <v>0</v>
      </c>
      <c r="E12" s="98">
        <f t="shared" si="1"/>
        <v>0</v>
      </c>
      <c r="F12" s="99">
        <f t="shared" si="1"/>
        <v>0</v>
      </c>
      <c r="G12" s="17">
        <v>0.05</v>
      </c>
    </row>
    <row r="13" spans="1:14">
      <c r="A13" s="89" t="s">
        <v>124</v>
      </c>
      <c r="B13" s="98"/>
      <c r="C13" s="98">
        <f t="shared" si="1"/>
        <v>0</v>
      </c>
      <c r="D13" s="98">
        <f t="shared" si="1"/>
        <v>0</v>
      </c>
      <c r="E13" s="98">
        <f t="shared" si="1"/>
        <v>0</v>
      </c>
      <c r="F13" s="99">
        <f t="shared" si="1"/>
        <v>0</v>
      </c>
      <c r="G13" s="17">
        <v>0.05</v>
      </c>
    </row>
    <row r="14" spans="1:14">
      <c r="A14" s="89" t="s">
        <v>126</v>
      </c>
      <c r="B14" s="98"/>
      <c r="C14" s="98">
        <f t="shared" si="1"/>
        <v>0</v>
      </c>
      <c r="D14" s="98">
        <f t="shared" si="1"/>
        <v>0</v>
      </c>
      <c r="E14" s="98">
        <f t="shared" si="1"/>
        <v>0</v>
      </c>
      <c r="F14" s="99">
        <f t="shared" si="1"/>
        <v>0</v>
      </c>
      <c r="G14" s="17">
        <v>0.05</v>
      </c>
    </row>
    <row r="15" spans="1:14">
      <c r="A15" s="89" t="s">
        <v>24</v>
      </c>
      <c r="B15" s="98"/>
      <c r="C15" s="98">
        <f t="shared" si="1"/>
        <v>0</v>
      </c>
      <c r="D15" s="98">
        <f t="shared" si="1"/>
        <v>0</v>
      </c>
      <c r="E15" s="98">
        <f t="shared" si="1"/>
        <v>0</v>
      </c>
      <c r="F15" s="99">
        <f t="shared" si="1"/>
        <v>0</v>
      </c>
      <c r="G15" s="17">
        <v>0.05</v>
      </c>
    </row>
    <row r="16" spans="1:14">
      <c r="A16" s="89" t="s">
        <v>0</v>
      </c>
      <c r="B16" s="98"/>
      <c r="C16" s="98">
        <f>'Profit and loss'!$B16*(100%+$G16)</f>
        <v>0</v>
      </c>
      <c r="D16" s="98">
        <f>'Profit and loss'!$C16*(100%+$G$16)</f>
        <v>0</v>
      </c>
      <c r="E16" s="98">
        <f>'Profit and loss'!$D16*(100%+$G$16)</f>
        <v>0</v>
      </c>
      <c r="F16" s="99">
        <f>'Profit and loss'!$E16*(100%+$G$16)</f>
        <v>0</v>
      </c>
      <c r="G16" s="17">
        <v>0.05</v>
      </c>
    </row>
    <row r="17" spans="1:8">
      <c r="A17" s="89" t="s">
        <v>26</v>
      </c>
      <c r="B17" s="98">
        <f>B8*$G17</f>
        <v>0</v>
      </c>
      <c r="C17" s="98">
        <f>C8*$G17</f>
        <v>0</v>
      </c>
      <c r="D17" s="98">
        <f>D8*$G17</f>
        <v>0</v>
      </c>
      <c r="E17" s="98">
        <f>E8*$G17</f>
        <v>0</v>
      </c>
      <c r="F17" s="99">
        <f>F8*$G17</f>
        <v>0</v>
      </c>
      <c r="G17" s="17">
        <v>0.15</v>
      </c>
    </row>
    <row r="18" spans="1:8">
      <c r="A18" s="89" t="s">
        <v>15</v>
      </c>
      <c r="B18" s="98"/>
      <c r="C18" s="98">
        <f>'Profit and loss'!$B18*(100%+$G18)</f>
        <v>0</v>
      </c>
      <c r="D18" s="98">
        <f>'Profit and loss'!$C18*(100%+$G18)</f>
        <v>0</v>
      </c>
      <c r="E18" s="98">
        <f>'Profit and loss'!$D18*(100%+$G18)</f>
        <v>0</v>
      </c>
      <c r="F18" s="99">
        <f>'Profit and loss'!$E18*(100%+$G18)</f>
        <v>0</v>
      </c>
      <c r="G18" s="17">
        <v>0.05</v>
      </c>
    </row>
    <row r="19" spans="1:8">
      <c r="A19" s="86" t="s">
        <v>23</v>
      </c>
      <c r="B19" s="100">
        <f>SUM(B8:B18)</f>
        <v>0</v>
      </c>
      <c r="C19" s="100">
        <f>SUM(C8:C18)</f>
        <v>0</v>
      </c>
      <c r="D19" s="100">
        <f>SUM(D8:D18)</f>
        <v>0</v>
      </c>
      <c r="E19" s="100">
        <f>SUM(E8:E18)</f>
        <v>0</v>
      </c>
      <c r="F19" s="101">
        <f>SUM(F8:F18)</f>
        <v>0</v>
      </c>
    </row>
    <row r="20" spans="1:8">
      <c r="A20" s="89" t="s">
        <v>36</v>
      </c>
      <c r="B20" s="98">
        <f>B5-B19</f>
        <v>0</v>
      </c>
      <c r="C20" s="98">
        <f>C5-C19</f>
        <v>0</v>
      </c>
      <c r="D20" s="98">
        <f>D5-D19</f>
        <v>0</v>
      </c>
      <c r="E20" s="98">
        <f>E5-E19</f>
        <v>0</v>
      </c>
      <c r="F20" s="99">
        <f>F5-F19</f>
        <v>0</v>
      </c>
    </row>
    <row r="21" spans="1:8">
      <c r="A21" s="89" t="s">
        <v>27</v>
      </c>
      <c r="B21" s="98">
        <f>B5-B19+B10</f>
        <v>0</v>
      </c>
      <c r="C21" s="98">
        <f>C5-C19+C10</f>
        <v>0</v>
      </c>
      <c r="D21" s="98">
        <f>D5-D19+D10</f>
        <v>0</v>
      </c>
      <c r="E21" s="98">
        <f>E5-E19+E10</f>
        <v>0</v>
      </c>
      <c r="F21" s="99">
        <f>F5-F19+F10</f>
        <v>0</v>
      </c>
    </row>
    <row r="22" spans="1:8">
      <c r="A22" s="89" t="s">
        <v>184</v>
      </c>
      <c r="B22" s="98">
        <v>0</v>
      </c>
      <c r="C22" s="98">
        <v>0</v>
      </c>
      <c r="D22" s="98">
        <v>0</v>
      </c>
      <c r="E22" s="98">
        <v>0</v>
      </c>
      <c r="F22" s="99">
        <v>0</v>
      </c>
    </row>
    <row r="23" spans="1:8">
      <c r="A23" s="89" t="s">
        <v>111</v>
      </c>
      <c r="B23" s="98">
        <f>IF(B20&lt;0,0,B20*$G23)</f>
        <v>0</v>
      </c>
      <c r="C23" s="98">
        <f t="shared" ref="C23:F23" si="2">IF(C20&lt;0,0,C20*$G23)</f>
        <v>0</v>
      </c>
      <c r="D23" s="98">
        <f t="shared" si="2"/>
        <v>0</v>
      </c>
      <c r="E23" s="98">
        <f t="shared" si="2"/>
        <v>0</v>
      </c>
      <c r="F23" s="99">
        <f t="shared" si="2"/>
        <v>0</v>
      </c>
      <c r="G23" s="18">
        <v>0.3</v>
      </c>
    </row>
    <row r="24" spans="1:8">
      <c r="A24" s="86" t="s">
        <v>37</v>
      </c>
      <c r="B24" s="100">
        <f>B20-B22-B23</f>
        <v>0</v>
      </c>
      <c r="C24" s="100">
        <f t="shared" ref="C24:F24" si="3">C20-C22-C23</f>
        <v>0</v>
      </c>
      <c r="D24" s="100">
        <f t="shared" si="3"/>
        <v>0</v>
      </c>
      <c r="E24" s="100">
        <f t="shared" si="3"/>
        <v>0</v>
      </c>
      <c r="F24" s="100">
        <f t="shared" si="3"/>
        <v>0</v>
      </c>
      <c r="H24" s="19"/>
    </row>
    <row r="25" spans="1:8">
      <c r="A25" s="102" t="s">
        <v>38</v>
      </c>
      <c r="B25" s="103">
        <f>IF(B2=0,0,B24/B2)</f>
        <v>0</v>
      </c>
      <c r="C25" s="103">
        <f>IF(C2=0,0,C24/C2)</f>
        <v>0</v>
      </c>
      <c r="D25" s="103">
        <f>IF(D2=0,0,D24/D2)</f>
        <v>0</v>
      </c>
      <c r="E25" s="103">
        <f>IF(E2=0,0,E24/E2)</f>
        <v>0</v>
      </c>
      <c r="F25" s="104">
        <f>IF(F2=0,0,F24/F2)</f>
        <v>0</v>
      </c>
    </row>
    <row r="26" spans="1:8">
      <c r="A26" s="20" t="s">
        <v>75</v>
      </c>
      <c r="B26" s="21">
        <v>0</v>
      </c>
      <c r="C26" s="21">
        <v>0</v>
      </c>
      <c r="D26" s="21">
        <v>0</v>
      </c>
      <c r="E26" s="21">
        <v>0</v>
      </c>
      <c r="F26" s="21">
        <v>0</v>
      </c>
    </row>
    <row r="27" spans="1:8">
      <c r="A27" s="22" t="s">
        <v>131</v>
      </c>
      <c r="B27" s="210">
        <f>IF('Sales forecast'!M39=0,IF('Sales forecast-vb'!N7=0,1,(100%-'Profit and loss'!$G$23)*SUM('Sales forecast-vb'!N3:N6)/SUM('Sales forecast-vb'!H3:H6)),(100%-$G23)*'Sales forecast'!M32/'Sales forecast'!M39)</f>
        <v>1</v>
      </c>
      <c r="C27" s="210">
        <f>IF('Sales forecast'!N39=0,IF('Sales forecast-vb'!O7=0,1,(100%-'Profit and loss'!$G$23)*SUM('Sales forecast-vb'!O3:O6)/SUM('Sales forecast-vb'!I3:I6)),(100%-$G23)*'Sales forecast'!N32/'Sales forecast'!N39)</f>
        <v>1</v>
      </c>
      <c r="D27" s="210">
        <f>IF('Sales forecast'!O39=0,IF('Sales forecast-vb'!P7=0,1,(100%-'Profit and loss'!$G$23)*SUM('Sales forecast-vb'!P3:P6)/SUM('Sales forecast-vb'!J3:J6)),(100%-$G23)*'Sales forecast'!O32/'Sales forecast'!O39)</f>
        <v>1</v>
      </c>
      <c r="E27" s="210">
        <f>IF('Sales forecast'!P39=0,IF('Sales forecast-vb'!Q7=0,1,(100%-'Profit and loss'!$G$23)*SUM('Sales forecast-vb'!Q3:Q6)/SUM('Sales forecast-vb'!K3:K6)),(100%-$G23)*'Sales forecast'!P32/'Sales forecast'!P39)</f>
        <v>1</v>
      </c>
      <c r="F27" s="210">
        <f>IF('Sales forecast'!Q39=0,IF('Sales forecast-vb'!R7=0,1,(100%-'Profit and loss'!$G$23)*SUM('Sales forecast-vb'!R3:R6)/SUM('Sales forecast-vb'!L3:L6)),(100%-$G23)*'Sales forecast'!Q32/'Sales forecast'!Q39)</f>
        <v>1</v>
      </c>
    </row>
    <row r="28" spans="1:8">
      <c r="A28" s="10" t="s">
        <v>127</v>
      </c>
      <c r="B28" s="3">
        <f>B23</f>
        <v>0</v>
      </c>
      <c r="C28" s="3">
        <f t="shared" ref="C28:F28" si="4">C23</f>
        <v>0</v>
      </c>
      <c r="D28" s="3">
        <f t="shared" si="4"/>
        <v>0</v>
      </c>
      <c r="E28" s="3">
        <f t="shared" si="4"/>
        <v>0</v>
      </c>
      <c r="F28" s="3">
        <f t="shared" si="4"/>
        <v>0</v>
      </c>
    </row>
    <row r="29" spans="1:8">
      <c r="A29" s="10" t="s">
        <v>128</v>
      </c>
      <c r="B29" s="4">
        <f>B17+B23</f>
        <v>0</v>
      </c>
      <c r="C29" s="4">
        <f>C17+C23</f>
        <v>0</v>
      </c>
      <c r="D29" s="4">
        <f>D17+D23</f>
        <v>0</v>
      </c>
      <c r="E29" s="4">
        <f>E17+E23</f>
        <v>0</v>
      </c>
      <c r="F29" s="4">
        <f>F17+F23</f>
        <v>0</v>
      </c>
    </row>
  </sheetData>
  <sheetProtection formatCells="0" insertRows="0" deleteRows="0"/>
  <pageMargins left="0.7" right="0.7" top="0.75" bottom="0.75" header="0.3" footer="0.3"/>
  <pageSetup orientation="portrait" r:id="rId1"/>
  <cellWatches>
    <cellWatch r="B25"/>
    <cellWatch r="C25"/>
    <cellWatch r="D25"/>
    <cellWatch r="E25"/>
    <cellWatch r="F25"/>
  </cellWatches>
  <ignoredErrors>
    <ignoredError sqref="C17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J16"/>
  <sheetViews>
    <sheetView zoomScale="150" zoomScaleNormal="150" workbookViewId="0">
      <selection sqref="A1:B1"/>
    </sheetView>
  </sheetViews>
  <sheetFormatPr defaultRowHeight="12"/>
  <cols>
    <col min="1" max="1" width="44" style="8" customWidth="1"/>
    <col min="2" max="2" width="16.28515625" style="8" customWidth="1"/>
    <col min="3" max="3" width="9.140625" style="8"/>
    <col min="4" max="4" width="6.7109375" style="8" customWidth="1"/>
    <col min="5" max="5" width="9.28515625" style="8" customWidth="1"/>
    <col min="6" max="6" width="9.5703125" style="8" customWidth="1"/>
    <col min="7" max="7" width="11.85546875" style="8" customWidth="1"/>
    <col min="8" max="10" width="14" style="8" customWidth="1"/>
    <col min="11" max="16384" width="9.140625" style="8"/>
  </cols>
  <sheetData>
    <row r="1" spans="1:10">
      <c r="A1" s="274" t="s">
        <v>55</v>
      </c>
      <c r="B1" s="274"/>
      <c r="D1" s="213" t="s">
        <v>112</v>
      </c>
      <c r="E1" s="213" t="s">
        <v>113</v>
      </c>
      <c r="F1" s="213" t="s">
        <v>114</v>
      </c>
      <c r="G1" s="213" t="s">
        <v>116</v>
      </c>
      <c r="H1" s="214" t="s">
        <v>115</v>
      </c>
      <c r="I1" s="214" t="s">
        <v>117</v>
      </c>
      <c r="J1" s="215" t="s">
        <v>118</v>
      </c>
    </row>
    <row r="2" spans="1:10">
      <c r="A2" s="216" t="s">
        <v>53</v>
      </c>
      <c r="B2" s="217">
        <f>IF((B5-B6)=0,0,B7/(B5-B6))</f>
        <v>0</v>
      </c>
      <c r="D2" s="218">
        <f>ROUND($B$2/6*0,0)</f>
        <v>0</v>
      </c>
      <c r="E2" s="219">
        <f t="shared" ref="E2:E11" si="0">B$5</f>
        <v>0</v>
      </c>
      <c r="F2" s="219">
        <f t="shared" ref="F2:F11" si="1">B$6</f>
        <v>0</v>
      </c>
      <c r="G2" s="219">
        <f t="shared" ref="G2:G11" si="2">B$7</f>
        <v>0</v>
      </c>
      <c r="H2" s="220">
        <f t="shared" ref="H2:H11" si="3">$D2*E2</f>
        <v>0</v>
      </c>
      <c r="I2" s="220">
        <f t="shared" ref="I2:I11" si="4">$D2*F2</f>
        <v>0</v>
      </c>
      <c r="J2" s="221">
        <f>G2+I2</f>
        <v>0</v>
      </c>
    </row>
    <row r="3" spans="1:10">
      <c r="A3" s="216" t="s">
        <v>51</v>
      </c>
      <c r="B3" s="222">
        <f>IF(B5=0,0,B7/(1-B6/B5))</f>
        <v>0</v>
      </c>
      <c r="D3" s="218">
        <f>ROUND($B$2/6*1,0)</f>
        <v>0</v>
      </c>
      <c r="E3" s="219">
        <f t="shared" si="0"/>
        <v>0</v>
      </c>
      <c r="F3" s="219">
        <f t="shared" si="1"/>
        <v>0</v>
      </c>
      <c r="G3" s="219">
        <f t="shared" si="2"/>
        <v>0</v>
      </c>
      <c r="H3" s="220">
        <f t="shared" si="3"/>
        <v>0</v>
      </c>
      <c r="I3" s="220">
        <f t="shared" si="4"/>
        <v>0</v>
      </c>
      <c r="J3" s="221">
        <f t="shared" ref="J3:J11" si="5">G3+I3</f>
        <v>0</v>
      </c>
    </row>
    <row r="4" spans="1:10">
      <c r="A4" s="275" t="s">
        <v>56</v>
      </c>
      <c r="B4" s="275"/>
      <c r="D4" s="218">
        <f>ROUND($B$2/6*2,0)</f>
        <v>0</v>
      </c>
      <c r="E4" s="219">
        <f t="shared" si="0"/>
        <v>0</v>
      </c>
      <c r="F4" s="219">
        <f t="shared" si="1"/>
        <v>0</v>
      </c>
      <c r="G4" s="219">
        <f t="shared" si="2"/>
        <v>0</v>
      </c>
      <c r="H4" s="220">
        <f t="shared" si="3"/>
        <v>0</v>
      </c>
      <c r="I4" s="220">
        <f t="shared" si="4"/>
        <v>0</v>
      </c>
      <c r="J4" s="221">
        <f t="shared" si="5"/>
        <v>0</v>
      </c>
    </row>
    <row r="5" spans="1:10">
      <c r="A5" s="216" t="s">
        <v>50</v>
      </c>
      <c r="B5" s="223">
        <f>IF('Sales forecast'!B9=0,0,'Sales forecast'!B24/'Sales forecast'!B9)</f>
        <v>0</v>
      </c>
      <c r="D5" s="218">
        <f>ROUND($B$2/6*3,0)</f>
        <v>0</v>
      </c>
      <c r="E5" s="219">
        <f t="shared" si="0"/>
        <v>0</v>
      </c>
      <c r="F5" s="219">
        <f t="shared" si="1"/>
        <v>0</v>
      </c>
      <c r="G5" s="219">
        <f t="shared" si="2"/>
        <v>0</v>
      </c>
      <c r="H5" s="220">
        <f t="shared" si="3"/>
        <v>0</v>
      </c>
      <c r="I5" s="220">
        <f t="shared" si="4"/>
        <v>0</v>
      </c>
      <c r="J5" s="221">
        <f t="shared" si="5"/>
        <v>0</v>
      </c>
    </row>
    <row r="6" spans="1:10">
      <c r="A6" s="216" t="s">
        <v>52</v>
      </c>
      <c r="B6" s="223">
        <f>IF('Sales forecast'!B9=0,0,'Sales forecast'!B39/'Sales forecast'!B9)</f>
        <v>0</v>
      </c>
      <c r="D6" s="218">
        <f>ROUND($B$2/6*4,0)</f>
        <v>0</v>
      </c>
      <c r="E6" s="219">
        <f t="shared" si="0"/>
        <v>0</v>
      </c>
      <c r="F6" s="219">
        <f t="shared" si="1"/>
        <v>0</v>
      </c>
      <c r="G6" s="219">
        <f t="shared" si="2"/>
        <v>0</v>
      </c>
      <c r="H6" s="220">
        <f t="shared" si="3"/>
        <v>0</v>
      </c>
      <c r="I6" s="220">
        <f t="shared" si="4"/>
        <v>0</v>
      </c>
      <c r="J6" s="221">
        <f t="shared" si="5"/>
        <v>0</v>
      </c>
    </row>
    <row r="7" spans="1:10">
      <c r="A7" s="216" t="s">
        <v>54</v>
      </c>
      <c r="B7" s="222">
        <f>IF(B5=0,0,'Profit and loss'!B19/12)</f>
        <v>0</v>
      </c>
      <c r="D7" s="218">
        <f>ROUND($B$2/6*5,0)</f>
        <v>0</v>
      </c>
      <c r="E7" s="219">
        <f t="shared" si="0"/>
        <v>0</v>
      </c>
      <c r="F7" s="219">
        <f t="shared" si="1"/>
        <v>0</v>
      </c>
      <c r="G7" s="219">
        <f t="shared" si="2"/>
        <v>0</v>
      </c>
      <c r="H7" s="220">
        <f t="shared" si="3"/>
        <v>0</v>
      </c>
      <c r="I7" s="220">
        <f t="shared" si="4"/>
        <v>0</v>
      </c>
      <c r="J7" s="221">
        <f t="shared" si="5"/>
        <v>0</v>
      </c>
    </row>
    <row r="8" spans="1:10">
      <c r="D8" s="224">
        <f>ROUNDDOWN(B2,0)</f>
        <v>0</v>
      </c>
      <c r="E8" s="219">
        <f t="shared" si="0"/>
        <v>0</v>
      </c>
      <c r="F8" s="219">
        <f t="shared" si="1"/>
        <v>0</v>
      </c>
      <c r="G8" s="219">
        <f t="shared" si="2"/>
        <v>0</v>
      </c>
      <c r="H8" s="220">
        <f t="shared" si="3"/>
        <v>0</v>
      </c>
      <c r="I8" s="220">
        <f t="shared" si="4"/>
        <v>0</v>
      </c>
      <c r="J8" s="221">
        <f t="shared" si="5"/>
        <v>0</v>
      </c>
    </row>
    <row r="9" spans="1:10">
      <c r="D9" s="218">
        <f>ROUND($B$2/6*7,0)</f>
        <v>0</v>
      </c>
      <c r="E9" s="219">
        <f t="shared" si="0"/>
        <v>0</v>
      </c>
      <c r="F9" s="219">
        <f t="shared" si="1"/>
        <v>0</v>
      </c>
      <c r="G9" s="219">
        <f t="shared" si="2"/>
        <v>0</v>
      </c>
      <c r="H9" s="220">
        <f t="shared" si="3"/>
        <v>0</v>
      </c>
      <c r="I9" s="220">
        <f t="shared" si="4"/>
        <v>0</v>
      </c>
      <c r="J9" s="221">
        <f t="shared" si="5"/>
        <v>0</v>
      </c>
    </row>
    <row r="10" spans="1:10">
      <c r="D10" s="218">
        <f>ROUND($B$2/6*8,0)</f>
        <v>0</v>
      </c>
      <c r="E10" s="219">
        <f t="shared" si="0"/>
        <v>0</v>
      </c>
      <c r="F10" s="219">
        <f t="shared" si="1"/>
        <v>0</v>
      </c>
      <c r="G10" s="219">
        <f t="shared" si="2"/>
        <v>0</v>
      </c>
      <c r="H10" s="220">
        <f t="shared" si="3"/>
        <v>0</v>
      </c>
      <c r="I10" s="220">
        <f t="shared" si="4"/>
        <v>0</v>
      </c>
      <c r="J10" s="221">
        <f t="shared" si="5"/>
        <v>0</v>
      </c>
    </row>
    <row r="11" spans="1:10">
      <c r="D11" s="225">
        <f>ROUND($B$2/6*9,0)</f>
        <v>0</v>
      </c>
      <c r="E11" s="226">
        <f t="shared" si="0"/>
        <v>0</v>
      </c>
      <c r="F11" s="226">
        <f t="shared" si="1"/>
        <v>0</v>
      </c>
      <c r="G11" s="226">
        <f t="shared" si="2"/>
        <v>0</v>
      </c>
      <c r="H11" s="227">
        <f t="shared" si="3"/>
        <v>0</v>
      </c>
      <c r="I11" s="227">
        <f t="shared" si="4"/>
        <v>0</v>
      </c>
      <c r="J11" s="228">
        <f t="shared" si="5"/>
        <v>0</v>
      </c>
    </row>
    <row r="13" spans="1:10">
      <c r="A13" s="276" t="s">
        <v>55</v>
      </c>
      <c r="B13" s="277"/>
    </row>
    <row r="14" spans="1:10">
      <c r="A14" s="278" t="s">
        <v>56</v>
      </c>
      <c r="B14" s="279"/>
    </row>
    <row r="15" spans="1:10">
      <c r="A15" s="229" t="s">
        <v>162</v>
      </c>
      <c r="B15" s="211">
        <f>IF('Sales forecast-vb'!B7=0,0,'Profit and loss'!B3/'Profit and loss'!B2)</f>
        <v>0</v>
      </c>
    </row>
    <row r="16" spans="1:10">
      <c r="A16" s="229" t="s">
        <v>54</v>
      </c>
      <c r="B16" s="212">
        <f>IF('Sales forecast-vb'!B7=0,0,'Profit and loss'!B19/12)</f>
        <v>0</v>
      </c>
    </row>
  </sheetData>
  <sheetProtection formatCells="0" insertRows="0" deleteRows="0"/>
  <mergeCells count="4">
    <mergeCell ref="A1:B1"/>
    <mergeCell ref="A4:B4"/>
    <mergeCell ref="A13:B13"/>
    <mergeCell ref="A14:B14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3"/>
  <sheetViews>
    <sheetView zoomScale="150" zoomScaleNormal="150" workbookViewId="0"/>
  </sheetViews>
  <sheetFormatPr defaultRowHeight="12"/>
  <cols>
    <col min="1" max="1" width="34.42578125" style="35" bestFit="1" customWidth="1"/>
    <col min="2" max="2" width="5.7109375" style="36" customWidth="1"/>
    <col min="3" max="7" width="14.28515625" style="34" customWidth="1"/>
    <col min="8" max="16384" width="9.140625" style="34"/>
  </cols>
  <sheetData>
    <row r="1" spans="1:7">
      <c r="A1" s="105" t="s">
        <v>78</v>
      </c>
      <c r="B1" s="106"/>
      <c r="C1" s="107" t="s">
        <v>66</v>
      </c>
      <c r="D1" s="107" t="s">
        <v>67</v>
      </c>
      <c r="E1" s="107" t="s">
        <v>68</v>
      </c>
      <c r="F1" s="107" t="s">
        <v>69</v>
      </c>
      <c r="G1" s="108" t="s">
        <v>70</v>
      </c>
    </row>
    <row r="2" spans="1:7">
      <c r="A2" s="109" t="s">
        <v>79</v>
      </c>
      <c r="B2" s="110"/>
      <c r="C2" s="111"/>
      <c r="D2" s="111"/>
      <c r="E2" s="111"/>
      <c r="F2" s="111"/>
      <c r="G2" s="112"/>
    </row>
    <row r="3" spans="1:7">
      <c r="A3" s="113" t="s">
        <v>80</v>
      </c>
      <c r="B3" s="114"/>
      <c r="C3" s="115"/>
      <c r="D3" s="116"/>
      <c r="E3" s="116"/>
      <c r="F3" s="116"/>
      <c r="G3" s="117"/>
    </row>
    <row r="4" spans="1:7">
      <c r="A4" s="113" t="s">
        <v>81</v>
      </c>
      <c r="B4" s="114"/>
      <c r="C4" s="115">
        <f>'Sales forecast'!B24</f>
        <v>0</v>
      </c>
      <c r="D4" s="115">
        <f>'Sales forecast'!C24</f>
        <v>0</v>
      </c>
      <c r="E4" s="115">
        <f>'Sales forecast'!D24</f>
        <v>0</v>
      </c>
      <c r="F4" s="115">
        <f>'Sales forecast'!E24</f>
        <v>0</v>
      </c>
      <c r="G4" s="118">
        <f>'Sales forecast'!F24</f>
        <v>0</v>
      </c>
    </row>
    <row r="5" spans="1:7">
      <c r="A5" s="113" t="s">
        <v>82</v>
      </c>
      <c r="B5" s="114"/>
      <c r="C5" s="115"/>
      <c r="D5" s="115"/>
      <c r="E5" s="115"/>
      <c r="F5" s="115"/>
      <c r="G5" s="118"/>
    </row>
    <row r="6" spans="1:7">
      <c r="A6" s="119" t="s">
        <v>83</v>
      </c>
      <c r="B6" s="114"/>
      <c r="C6" s="115">
        <f>C4+C5</f>
        <v>0</v>
      </c>
      <c r="D6" s="115">
        <f t="shared" ref="D6:G6" si="0">D4+D5</f>
        <v>0</v>
      </c>
      <c r="E6" s="115">
        <f t="shared" si="0"/>
        <v>0</v>
      </c>
      <c r="F6" s="115">
        <f t="shared" si="0"/>
        <v>0</v>
      </c>
      <c r="G6" s="118">
        <f t="shared" si="0"/>
        <v>0</v>
      </c>
    </row>
    <row r="7" spans="1:7">
      <c r="A7" s="109" t="s">
        <v>84</v>
      </c>
      <c r="B7" s="110"/>
      <c r="C7" s="111"/>
      <c r="D7" s="111"/>
      <c r="E7" s="111"/>
      <c r="F7" s="111"/>
      <c r="G7" s="112"/>
    </row>
    <row r="8" spans="1:7">
      <c r="A8" s="113" t="s">
        <v>85</v>
      </c>
      <c r="B8" s="114"/>
      <c r="C8" s="115"/>
      <c r="D8" s="115"/>
      <c r="E8" s="115"/>
      <c r="F8" s="115"/>
      <c r="G8" s="118"/>
    </row>
    <row r="9" spans="1:7">
      <c r="A9" s="113" t="s">
        <v>86</v>
      </c>
      <c r="B9" s="120">
        <v>0</v>
      </c>
      <c r="C9" s="115">
        <f>$B9*'Profit and loss'!B2</f>
        <v>0</v>
      </c>
      <c r="D9" s="115">
        <f>$B9*'Profit and loss'!C2</f>
        <v>0</v>
      </c>
      <c r="E9" s="115">
        <f>$B9*'Profit and loss'!D2</f>
        <v>0</v>
      </c>
      <c r="F9" s="115">
        <f>$B9*'Profit and loss'!E2</f>
        <v>0</v>
      </c>
      <c r="G9" s="118">
        <f>$B9*'Profit and loss'!F2</f>
        <v>0</v>
      </c>
    </row>
    <row r="10" spans="1:7">
      <c r="A10" s="113" t="s">
        <v>87</v>
      </c>
      <c r="B10" s="114"/>
      <c r="C10" s="115"/>
      <c r="D10" s="115"/>
      <c r="E10" s="115"/>
      <c r="F10" s="115"/>
      <c r="G10" s="118"/>
    </row>
    <row r="11" spans="1:7">
      <c r="A11" s="113" t="s">
        <v>88</v>
      </c>
      <c r="B11" s="114"/>
      <c r="C11" s="115"/>
      <c r="D11" s="115"/>
      <c r="E11" s="115"/>
      <c r="F11" s="115"/>
      <c r="G11" s="118"/>
    </row>
    <row r="12" spans="1:7">
      <c r="A12" s="113" t="s">
        <v>89</v>
      </c>
      <c r="B12" s="114"/>
      <c r="C12" s="115"/>
      <c r="D12" s="115"/>
      <c r="E12" s="115"/>
      <c r="F12" s="115"/>
      <c r="G12" s="118"/>
    </row>
    <row r="13" spans="1:7">
      <c r="A13" s="113" t="s">
        <v>90</v>
      </c>
      <c r="B13" s="114"/>
      <c r="C13" s="115"/>
      <c r="D13" s="115"/>
      <c r="E13" s="115"/>
      <c r="F13" s="115"/>
      <c r="G13" s="118"/>
    </row>
    <row r="14" spans="1:7">
      <c r="A14" s="113" t="s">
        <v>91</v>
      </c>
      <c r="B14" s="114"/>
      <c r="C14" s="115"/>
      <c r="D14" s="115"/>
      <c r="E14" s="115"/>
      <c r="F14" s="115"/>
      <c r="G14" s="118"/>
    </row>
    <row r="15" spans="1:7">
      <c r="A15" s="113" t="s">
        <v>92</v>
      </c>
      <c r="B15" s="114"/>
      <c r="C15" s="115"/>
      <c r="D15" s="115"/>
      <c r="E15" s="115"/>
      <c r="F15" s="115"/>
      <c r="G15" s="118"/>
    </row>
    <row r="16" spans="1:7">
      <c r="A16" s="119" t="s">
        <v>93</v>
      </c>
      <c r="B16" s="114"/>
      <c r="C16" s="115">
        <f>C6+SUM(C9:C15)-C8</f>
        <v>0</v>
      </c>
      <c r="D16" s="115">
        <f t="shared" ref="D16:G16" si="1">D6+SUM(D9:D15)-D8</f>
        <v>0</v>
      </c>
      <c r="E16" s="115">
        <f t="shared" si="1"/>
        <v>0</v>
      </c>
      <c r="F16" s="115">
        <f t="shared" si="1"/>
        <v>0</v>
      </c>
      <c r="G16" s="118">
        <f t="shared" si="1"/>
        <v>0</v>
      </c>
    </row>
    <row r="17" spans="1:7">
      <c r="A17" s="105" t="s">
        <v>94</v>
      </c>
      <c r="B17" s="106"/>
      <c r="C17" s="107" t="s">
        <v>66</v>
      </c>
      <c r="D17" s="107" t="s">
        <v>67</v>
      </c>
      <c r="E17" s="107" t="s">
        <v>68</v>
      </c>
      <c r="F17" s="107" t="s">
        <v>69</v>
      </c>
      <c r="G17" s="108" t="s">
        <v>70</v>
      </c>
    </row>
    <row r="18" spans="1:7">
      <c r="A18" s="109" t="s">
        <v>95</v>
      </c>
      <c r="B18" s="110"/>
      <c r="C18" s="111"/>
      <c r="D18" s="111"/>
      <c r="E18" s="111"/>
      <c r="F18" s="111"/>
      <c r="G18" s="112"/>
    </row>
    <row r="19" spans="1:7">
      <c r="A19" s="113" t="s">
        <v>96</v>
      </c>
      <c r="B19" s="114"/>
      <c r="C19" s="115">
        <f>'Sales forecast'!B39+'Profit and loss'!B19+'Profit and loss'!B23-'Profit and loss'!B10</f>
        <v>0</v>
      </c>
      <c r="D19" s="115">
        <f>'Sales forecast'!C39+'Profit and loss'!C19+'Profit and loss'!C23-'Profit and loss'!C10</f>
        <v>0</v>
      </c>
      <c r="E19" s="115">
        <f>'Sales forecast'!D39+'Profit and loss'!D19+'Profit and loss'!D23-'Profit and loss'!D10</f>
        <v>0</v>
      </c>
      <c r="F19" s="115">
        <f>'Sales forecast'!E39+'Profit and loss'!E19+'Profit and loss'!E23-'Profit and loss'!E10</f>
        <v>0</v>
      </c>
      <c r="G19" s="118">
        <f>'Sales forecast'!F39+'Profit and loss'!F19+'Profit and loss'!F23-'Profit and loss'!F10</f>
        <v>0</v>
      </c>
    </row>
    <row r="20" spans="1:7">
      <c r="A20" s="113" t="s">
        <v>97</v>
      </c>
      <c r="B20" s="114"/>
      <c r="C20" s="115"/>
      <c r="D20" s="115"/>
      <c r="E20" s="115"/>
      <c r="F20" s="115"/>
      <c r="G20" s="118"/>
    </row>
    <row r="21" spans="1:7">
      <c r="A21" s="119" t="s">
        <v>98</v>
      </c>
      <c r="B21" s="114"/>
      <c r="C21" s="115">
        <f>SUM(C19:C20)</f>
        <v>0</v>
      </c>
      <c r="D21" s="115">
        <f t="shared" ref="D21:G21" si="2">SUM(D19:D20)</f>
        <v>0</v>
      </c>
      <c r="E21" s="115">
        <f t="shared" si="2"/>
        <v>0</v>
      </c>
      <c r="F21" s="115">
        <f t="shared" si="2"/>
        <v>0</v>
      </c>
      <c r="G21" s="118">
        <f t="shared" si="2"/>
        <v>0</v>
      </c>
    </row>
    <row r="22" spans="1:7">
      <c r="A22" s="109" t="s">
        <v>99</v>
      </c>
      <c r="B22" s="110"/>
      <c r="C22" s="111"/>
      <c r="D22" s="111"/>
      <c r="E22" s="111"/>
      <c r="F22" s="111"/>
      <c r="G22" s="112"/>
    </row>
    <row r="23" spans="1:7">
      <c r="A23" s="113" t="s">
        <v>100</v>
      </c>
      <c r="B23" s="114"/>
      <c r="C23" s="115"/>
      <c r="D23" s="115"/>
      <c r="E23" s="115"/>
      <c r="F23" s="115"/>
      <c r="G23" s="118"/>
    </row>
    <row r="24" spans="1:7">
      <c r="A24" s="113" t="s">
        <v>101</v>
      </c>
      <c r="B24" s="114"/>
      <c r="C24" s="115"/>
      <c r="D24" s="115"/>
      <c r="E24" s="115"/>
      <c r="F24" s="115"/>
      <c r="G24" s="118"/>
    </row>
    <row r="25" spans="1:7">
      <c r="A25" s="113" t="s">
        <v>102</v>
      </c>
      <c r="B25" s="114"/>
      <c r="C25" s="115"/>
      <c r="D25" s="115"/>
      <c r="E25" s="115"/>
      <c r="F25" s="115"/>
      <c r="G25" s="118"/>
    </row>
    <row r="26" spans="1:7">
      <c r="A26" s="113" t="s">
        <v>103</v>
      </c>
      <c r="B26" s="114"/>
      <c r="C26" s="115"/>
      <c r="D26" s="115"/>
      <c r="E26" s="115"/>
      <c r="F26" s="115"/>
      <c r="G26" s="118"/>
    </row>
    <row r="27" spans="1:7">
      <c r="A27" s="113" t="s">
        <v>104</v>
      </c>
      <c r="B27" s="114"/>
      <c r="C27" s="115"/>
      <c r="D27" s="115"/>
      <c r="E27" s="115"/>
      <c r="F27" s="115"/>
      <c r="G27" s="118"/>
    </row>
    <row r="28" spans="1:7">
      <c r="A28" s="113" t="s">
        <v>105</v>
      </c>
      <c r="B28" s="114"/>
      <c r="C28" s="115"/>
      <c r="D28" s="115"/>
      <c r="E28" s="115"/>
      <c r="F28" s="115"/>
      <c r="G28" s="118"/>
    </row>
    <row r="29" spans="1:7">
      <c r="A29" s="113" t="s">
        <v>106</v>
      </c>
      <c r="B29" s="114"/>
      <c r="C29" s="115"/>
      <c r="D29" s="115"/>
      <c r="E29" s="115"/>
      <c r="F29" s="115"/>
      <c r="G29" s="118"/>
    </row>
    <row r="30" spans="1:7">
      <c r="A30" s="113" t="s">
        <v>107</v>
      </c>
      <c r="B30" s="114"/>
      <c r="C30" s="115"/>
      <c r="D30" s="115"/>
      <c r="E30" s="115"/>
      <c r="F30" s="115"/>
      <c r="G30" s="118"/>
    </row>
    <row r="31" spans="1:7">
      <c r="A31" s="119" t="s">
        <v>108</v>
      </c>
      <c r="B31" s="114"/>
      <c r="C31" s="115">
        <f>C21+SUM(C24:C30)-C23</f>
        <v>0</v>
      </c>
      <c r="D31" s="115">
        <f t="shared" ref="D31:G31" si="3">D21+SUM(D24:D30)-D23</f>
        <v>0</v>
      </c>
      <c r="E31" s="115">
        <f t="shared" si="3"/>
        <v>0</v>
      </c>
      <c r="F31" s="115">
        <f t="shared" si="3"/>
        <v>0</v>
      </c>
      <c r="G31" s="118">
        <f t="shared" si="3"/>
        <v>0</v>
      </c>
    </row>
    <row r="32" spans="1:7">
      <c r="A32" s="109" t="s">
        <v>109</v>
      </c>
      <c r="B32" s="110"/>
      <c r="C32" s="121">
        <f>C16-C31</f>
        <v>0</v>
      </c>
      <c r="D32" s="121">
        <f t="shared" ref="D32:G32" si="4">D16-D31</f>
        <v>0</v>
      </c>
      <c r="E32" s="121">
        <f t="shared" si="4"/>
        <v>0</v>
      </c>
      <c r="F32" s="121">
        <f t="shared" si="4"/>
        <v>0</v>
      </c>
      <c r="G32" s="122">
        <f t="shared" si="4"/>
        <v>0</v>
      </c>
    </row>
    <row r="33" spans="1:7">
      <c r="A33" s="123" t="s">
        <v>110</v>
      </c>
      <c r="B33" s="124"/>
      <c r="C33" s="125">
        <f>'Start-up'!B13+C32</f>
        <v>0</v>
      </c>
      <c r="D33" s="125">
        <f>C33+D32</f>
        <v>0</v>
      </c>
      <c r="E33" s="125">
        <f t="shared" ref="E33:G33" si="5">D33+E32</f>
        <v>0</v>
      </c>
      <c r="F33" s="125">
        <f t="shared" si="5"/>
        <v>0</v>
      </c>
      <c r="G33" s="126">
        <f t="shared" si="5"/>
        <v>0</v>
      </c>
    </row>
  </sheetData>
  <sheetProtection formatCells="0" insertRows="0" deleteRows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0.249977111117893"/>
  </sheetPr>
  <dimension ref="A1:F16"/>
  <sheetViews>
    <sheetView zoomScale="150" zoomScaleNormal="150" workbookViewId="0"/>
  </sheetViews>
  <sheetFormatPr defaultRowHeight="12"/>
  <cols>
    <col min="1" max="1" width="33.7109375" style="1" bestFit="1" customWidth="1"/>
    <col min="2" max="6" width="14.28515625" style="1" customWidth="1"/>
    <col min="7" max="16384" width="9.140625" style="1"/>
  </cols>
  <sheetData>
    <row r="1" spans="1:6">
      <c r="A1" s="127" t="s">
        <v>45</v>
      </c>
      <c r="B1" s="128" t="s">
        <v>18</v>
      </c>
      <c r="C1" s="128" t="s">
        <v>19</v>
      </c>
      <c r="D1" s="128" t="s">
        <v>20</v>
      </c>
      <c r="E1" s="128" t="s">
        <v>21</v>
      </c>
      <c r="F1" s="129" t="s">
        <v>22</v>
      </c>
    </row>
    <row r="2" spans="1:6">
      <c r="A2" s="130" t="s">
        <v>44</v>
      </c>
      <c r="B2" s="131"/>
      <c r="C2" s="132"/>
      <c r="D2" s="132"/>
      <c r="E2" s="132"/>
      <c r="F2" s="133"/>
    </row>
    <row r="3" spans="1:6">
      <c r="A3" s="134" t="s">
        <v>46</v>
      </c>
      <c r="B3" s="135"/>
      <c r="C3" s="136"/>
      <c r="D3" s="136"/>
      <c r="E3" s="136"/>
      <c r="F3" s="137"/>
    </row>
    <row r="4" spans="1:6">
      <c r="A4" s="138" t="s">
        <v>119</v>
      </c>
      <c r="B4" s="139">
        <f>'Cash-flow'!C33</f>
        <v>0</v>
      </c>
      <c r="C4" s="139">
        <f>'Cash-flow'!D33</f>
        <v>0</v>
      </c>
      <c r="D4" s="139">
        <f>'Cash-flow'!E33</f>
        <v>0</v>
      </c>
      <c r="E4" s="139">
        <f>'Cash-flow'!F33</f>
        <v>0</v>
      </c>
      <c r="F4" s="140">
        <f>'Cash-flow'!G33</f>
        <v>0</v>
      </c>
    </row>
    <row r="5" spans="1:6">
      <c r="A5" s="134" t="s">
        <v>43</v>
      </c>
      <c r="B5" s="139">
        <f>B4</f>
        <v>0</v>
      </c>
      <c r="C5" s="139">
        <f t="shared" ref="C5:F5" si="0">C4</f>
        <v>0</v>
      </c>
      <c r="D5" s="139">
        <f t="shared" si="0"/>
        <v>0</v>
      </c>
      <c r="E5" s="139">
        <f t="shared" si="0"/>
        <v>0</v>
      </c>
      <c r="F5" s="140">
        <f t="shared" si="0"/>
        <v>0</v>
      </c>
    </row>
    <row r="6" spans="1:6">
      <c r="A6" s="134" t="s">
        <v>6</v>
      </c>
      <c r="B6" s="135"/>
      <c r="C6" s="136"/>
      <c r="D6" s="136"/>
      <c r="E6" s="136"/>
      <c r="F6" s="137"/>
    </row>
    <row r="7" spans="1:6">
      <c r="A7" s="138" t="s">
        <v>6</v>
      </c>
      <c r="B7" s="139">
        <f>'Start-up'!B16+'Cash-flow'!C29-'Cash-flow'!C14</f>
        <v>0</v>
      </c>
      <c r="C7" s="139">
        <f>B7+'Cash-flow'!D29-'Cash-flow'!D14</f>
        <v>0</v>
      </c>
      <c r="D7" s="139">
        <f>C7+'Cash-flow'!E29-'Cash-flow'!E14</f>
        <v>0</v>
      </c>
      <c r="E7" s="139">
        <f>D7+'Cash-flow'!F29-'Cash-flow'!F14</f>
        <v>0</v>
      </c>
      <c r="F7" s="140">
        <f>E7+'Cash-flow'!G29-'Cash-flow'!G14</f>
        <v>0</v>
      </c>
    </row>
    <row r="8" spans="1:6">
      <c r="A8" s="138" t="s">
        <v>41</v>
      </c>
      <c r="B8" s="139">
        <f>'Profit and loss'!B10</f>
        <v>0</v>
      </c>
      <c r="C8" s="139">
        <f>B8+'Profit and loss'!C10</f>
        <v>0</v>
      </c>
      <c r="D8" s="139">
        <f>C8+'Profit and loss'!D10</f>
        <v>0</v>
      </c>
      <c r="E8" s="139">
        <f>D8+'Profit and loss'!E10</f>
        <v>0</v>
      </c>
      <c r="F8" s="140">
        <f>E8+'Profit and loss'!F10</f>
        <v>0</v>
      </c>
    </row>
    <row r="9" spans="1:6">
      <c r="A9" s="134" t="s">
        <v>40</v>
      </c>
      <c r="B9" s="139">
        <f>B7-B8</f>
        <v>0</v>
      </c>
      <c r="C9" s="139">
        <f t="shared" ref="C9:F9" si="1">C7-C8</f>
        <v>0</v>
      </c>
      <c r="D9" s="139">
        <f t="shared" si="1"/>
        <v>0</v>
      </c>
      <c r="E9" s="139">
        <f t="shared" si="1"/>
        <v>0</v>
      </c>
      <c r="F9" s="140">
        <f t="shared" si="1"/>
        <v>0</v>
      </c>
    </row>
    <row r="10" spans="1:6">
      <c r="A10" s="134" t="s">
        <v>2</v>
      </c>
      <c r="B10" s="139">
        <f>B5+B9</f>
        <v>0</v>
      </c>
      <c r="C10" s="139">
        <f t="shared" ref="C10:F10" si="2">C5+C9</f>
        <v>0</v>
      </c>
      <c r="D10" s="139">
        <f t="shared" si="2"/>
        <v>0</v>
      </c>
      <c r="E10" s="139">
        <f t="shared" si="2"/>
        <v>0</v>
      </c>
      <c r="F10" s="140">
        <f t="shared" si="2"/>
        <v>0</v>
      </c>
    </row>
    <row r="11" spans="1:6">
      <c r="A11" s="130" t="s">
        <v>77</v>
      </c>
      <c r="B11" s="141" t="s">
        <v>18</v>
      </c>
      <c r="C11" s="141" t="s">
        <v>19</v>
      </c>
      <c r="D11" s="141" t="s">
        <v>20</v>
      </c>
      <c r="E11" s="141" t="s">
        <v>21</v>
      </c>
      <c r="F11" s="142" t="s">
        <v>22</v>
      </c>
    </row>
    <row r="12" spans="1:6">
      <c r="A12" s="138" t="s">
        <v>47</v>
      </c>
      <c r="B12" s="139">
        <f>'Start-up'!B18+'Cash-flow'!C15</f>
        <v>0</v>
      </c>
      <c r="C12" s="139">
        <f>B12+'Cash-flow'!D15</f>
        <v>0</v>
      </c>
      <c r="D12" s="139">
        <f>C12+'Cash-flow'!E15</f>
        <v>0</v>
      </c>
      <c r="E12" s="139">
        <f>D12+'Cash-flow'!F15</f>
        <v>0</v>
      </c>
      <c r="F12" s="140">
        <f>E12+'Cash-flow'!G15</f>
        <v>0</v>
      </c>
    </row>
    <row r="13" spans="1:6">
      <c r="A13" s="138" t="s">
        <v>48</v>
      </c>
      <c r="B13" s="139">
        <f>B10-B12-B14</f>
        <v>0</v>
      </c>
      <c r="C13" s="139">
        <f>B13+B14</f>
        <v>0</v>
      </c>
      <c r="D13" s="139">
        <f t="shared" ref="D13:F13" si="3">C13+C14</f>
        <v>0</v>
      </c>
      <c r="E13" s="139">
        <f t="shared" si="3"/>
        <v>0</v>
      </c>
      <c r="F13" s="140">
        <f t="shared" si="3"/>
        <v>0</v>
      </c>
    </row>
    <row r="14" spans="1:6">
      <c r="A14" s="138" t="s">
        <v>49</v>
      </c>
      <c r="B14" s="139">
        <f>'Profit and loss'!B24</f>
        <v>0</v>
      </c>
      <c r="C14" s="139">
        <f>'Profit and loss'!C24</f>
        <v>0</v>
      </c>
      <c r="D14" s="139">
        <f>'Profit and loss'!D24</f>
        <v>0</v>
      </c>
      <c r="E14" s="139">
        <f>'Profit and loss'!E24</f>
        <v>0</v>
      </c>
      <c r="F14" s="140">
        <f>'Profit and loss'!F24</f>
        <v>0</v>
      </c>
    </row>
    <row r="15" spans="1:6">
      <c r="A15" s="134" t="s">
        <v>42</v>
      </c>
      <c r="B15" s="139">
        <f>SUM(B12:B14)</f>
        <v>0</v>
      </c>
      <c r="C15" s="139">
        <f t="shared" ref="C15:F15" si="4">SUM(C12:C14)</f>
        <v>0</v>
      </c>
      <c r="D15" s="139">
        <f t="shared" si="4"/>
        <v>0</v>
      </c>
      <c r="E15" s="139">
        <f t="shared" si="4"/>
        <v>0</v>
      </c>
      <c r="F15" s="140">
        <f t="shared" si="4"/>
        <v>0</v>
      </c>
    </row>
    <row r="16" spans="1:6">
      <c r="A16" s="143" t="s">
        <v>39</v>
      </c>
      <c r="B16" s="144">
        <f>B10</f>
        <v>0</v>
      </c>
      <c r="C16" s="144">
        <f t="shared" ref="C16:F16" si="5">C10</f>
        <v>0</v>
      </c>
      <c r="D16" s="144">
        <f t="shared" si="5"/>
        <v>0</v>
      </c>
      <c r="E16" s="144">
        <f t="shared" si="5"/>
        <v>0</v>
      </c>
      <c r="F16" s="145">
        <f t="shared" si="5"/>
        <v>0</v>
      </c>
    </row>
  </sheetData>
  <sheetProtection formatCells="0" insertRows="0" deleteRows="0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"/>
  <sheetViews>
    <sheetView topLeftCell="A24" zoomScale="150" zoomScaleNormal="150" workbookViewId="0">
      <selection activeCell="J1" sqref="J1"/>
    </sheetView>
  </sheetViews>
  <sheetFormatPr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I9"/>
  <sheetViews>
    <sheetView zoomScale="150" zoomScaleNormal="150" workbookViewId="0">
      <selection activeCell="A4" sqref="A4"/>
    </sheetView>
  </sheetViews>
  <sheetFormatPr defaultRowHeight="12"/>
  <cols>
    <col min="1" max="1" width="37" style="23" bestFit="1" customWidth="1"/>
    <col min="2" max="6" width="14.28515625" style="23" customWidth="1"/>
    <col min="7" max="7" width="9.140625" style="23"/>
    <col min="8" max="8" width="23" style="23" bestFit="1" customWidth="1"/>
    <col min="9" max="16384" width="9.140625" style="23"/>
  </cols>
  <sheetData>
    <row r="1" spans="1:9">
      <c r="A1" s="188" t="s">
        <v>132</v>
      </c>
      <c r="B1" s="188" t="s">
        <v>18</v>
      </c>
      <c r="C1" s="188" t="s">
        <v>19</v>
      </c>
      <c r="D1" s="188" t="s">
        <v>20</v>
      </c>
      <c r="E1" s="188" t="s">
        <v>21</v>
      </c>
      <c r="F1" s="189" t="s">
        <v>22</v>
      </c>
      <c r="H1" s="23" t="s">
        <v>146</v>
      </c>
      <c r="I1" s="23">
        <f>COUNTIF(Personnel!A19:A24, "*market*")</f>
        <v>0</v>
      </c>
    </row>
    <row r="2" spans="1:9">
      <c r="A2" s="190" t="s">
        <v>30</v>
      </c>
      <c r="B2" s="191">
        <f>'Profit and loss'!$B2</f>
        <v>0</v>
      </c>
      <c r="C2" s="191">
        <f>'Profit and loss'!$C2</f>
        <v>0</v>
      </c>
      <c r="D2" s="191">
        <f>'Profit and loss'!$D2</f>
        <v>0</v>
      </c>
      <c r="E2" s="191">
        <f>'Profit and loss'!$E2</f>
        <v>0</v>
      </c>
      <c r="F2" s="192">
        <f>'Profit and loss'!$F2</f>
        <v>0</v>
      </c>
      <c r="H2" s="23" t="s">
        <v>147</v>
      </c>
      <c r="I2" s="23">
        <f>COUNTIF('Profit and loss'!A8:A18, "*market*")</f>
        <v>1</v>
      </c>
    </row>
    <row r="3" spans="1:9">
      <c r="A3" s="193" t="s">
        <v>133</v>
      </c>
      <c r="B3" s="194"/>
      <c r="C3" s="195"/>
      <c r="D3" s="195"/>
      <c r="E3" s="195"/>
      <c r="F3" s="196"/>
    </row>
    <row r="4" spans="1:9">
      <c r="A4" s="197"/>
      <c r="B4" s="198"/>
      <c r="C4" s="198"/>
      <c r="D4" s="198"/>
      <c r="E4" s="198"/>
      <c r="F4" s="199"/>
    </row>
    <row r="5" spans="1:9">
      <c r="A5" s="197"/>
      <c r="B5" s="198"/>
      <c r="C5" s="198"/>
      <c r="D5" s="198"/>
      <c r="E5" s="198"/>
      <c r="F5" s="199"/>
    </row>
    <row r="6" spans="1:9">
      <c r="A6" s="193" t="s">
        <v>134</v>
      </c>
      <c r="B6" s="194"/>
      <c r="C6" s="195"/>
      <c r="D6" s="195"/>
      <c r="E6" s="195"/>
      <c r="F6" s="196"/>
    </row>
    <row r="7" spans="1:9">
      <c r="A7" s="200" t="str">
        <f>'Profit and loss'!A9</f>
        <v>Marketing</v>
      </c>
      <c r="B7" s="200">
        <f>'Profit and loss'!B9</f>
        <v>0</v>
      </c>
      <c r="C7" s="200">
        <f>'Profit and loss'!C9</f>
        <v>0</v>
      </c>
      <c r="D7" s="200">
        <f>'Profit and loss'!D9</f>
        <v>0</v>
      </c>
      <c r="E7" s="200">
        <f>'Profit and loss'!E9</f>
        <v>0</v>
      </c>
      <c r="F7" s="201">
        <f>'Profit and loss'!F9</f>
        <v>0</v>
      </c>
    </row>
    <row r="8" spans="1:9">
      <c r="A8" s="202" t="s">
        <v>135</v>
      </c>
      <c r="B8" s="203">
        <f>SUM(B4:B7)</f>
        <v>0</v>
      </c>
      <c r="C8" s="203">
        <f>SUM(C4:C7)</f>
        <v>0</v>
      </c>
      <c r="D8" s="203">
        <f>SUM(D4:D7)</f>
        <v>0</v>
      </c>
      <c r="E8" s="203">
        <f>SUM(E4:E7)</f>
        <v>0</v>
      </c>
      <c r="F8" s="204">
        <f>SUM(F4:F7)</f>
        <v>0</v>
      </c>
    </row>
    <row r="9" spans="1:9">
      <c r="A9" s="205" t="s">
        <v>136</v>
      </c>
      <c r="B9" s="206">
        <f>IF(B2=0,0,B8/B2)</f>
        <v>0</v>
      </c>
      <c r="C9" s="206">
        <f>IF(C2=0,0,C8/C2)</f>
        <v>0</v>
      </c>
      <c r="D9" s="206">
        <f>IF(D2=0,0,D8/D2)</f>
        <v>0</v>
      </c>
      <c r="E9" s="206">
        <f>IF(E2=0,0,E8/E2)</f>
        <v>0</v>
      </c>
      <c r="F9" s="44">
        <f>IF(F2=0,0,F8/F2)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updateFeasibility">
              <controlPr defaultSize="0" print="0" autoFill="0" autoPict="0" macro="[0]!UpdateFeasibility_Click">
                <anchor mov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7</xdr:col>
                    <xdr:colOff>666750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FF00"/>
  </sheetPr>
  <dimension ref="A1:I13"/>
  <sheetViews>
    <sheetView zoomScale="150" zoomScaleNormal="150" workbookViewId="0">
      <selection activeCell="A8" sqref="A8"/>
    </sheetView>
  </sheetViews>
  <sheetFormatPr defaultRowHeight="12"/>
  <cols>
    <col min="1" max="1" width="25.85546875" style="37" bestFit="1" customWidth="1"/>
    <col min="2" max="6" width="14.42578125" style="23" customWidth="1"/>
    <col min="7" max="7" width="9.140625" style="23"/>
    <col min="8" max="8" width="15.85546875" style="23" bestFit="1" customWidth="1"/>
    <col min="9" max="16384" width="9.140625" style="23"/>
  </cols>
  <sheetData>
    <row r="1" spans="1:9">
      <c r="A1" s="45" t="s">
        <v>137</v>
      </c>
      <c r="B1" s="46" t="s">
        <v>66</v>
      </c>
      <c r="C1" s="46" t="s">
        <v>67</v>
      </c>
      <c r="D1" s="46" t="s">
        <v>68</v>
      </c>
      <c r="E1" s="46" t="s">
        <v>69</v>
      </c>
      <c r="F1" s="46" t="s">
        <v>70</v>
      </c>
      <c r="H1" s="23" t="s">
        <v>148</v>
      </c>
      <c r="I1" s="23">
        <f>COUNTIF('Profit and loss'!B8:B18, "&gt;0")</f>
        <v>0</v>
      </c>
    </row>
    <row r="2" spans="1:9">
      <c r="A2" s="47" t="s">
        <v>30</v>
      </c>
      <c r="B2" s="48">
        <f>'Profit and loss'!$B2</f>
        <v>0</v>
      </c>
      <c r="C2" s="48">
        <f>'Profit and loss'!$C2</f>
        <v>0</v>
      </c>
      <c r="D2" s="48">
        <f>'Profit and loss'!$D2</f>
        <v>0</v>
      </c>
      <c r="E2" s="48">
        <f>'Profit and loss'!$E2</f>
        <v>0</v>
      </c>
      <c r="F2" s="48">
        <f>'Profit and loss'!$F2</f>
        <v>0</v>
      </c>
    </row>
    <row r="3" spans="1:9">
      <c r="A3" s="31" t="s">
        <v>37</v>
      </c>
      <c r="B3" s="48">
        <f>'Profit and loss'!B24</f>
        <v>0</v>
      </c>
      <c r="C3" s="48">
        <f>'Profit and loss'!C24</f>
        <v>0</v>
      </c>
      <c r="D3" s="48">
        <f>'Profit and loss'!D24</f>
        <v>0</v>
      </c>
      <c r="E3" s="48">
        <f>'Profit and loss'!E24</f>
        <v>0</v>
      </c>
      <c r="F3" s="48">
        <f>'Profit and loss'!F24</f>
        <v>0</v>
      </c>
    </row>
    <row r="4" spans="1:9">
      <c r="A4" s="47" t="s">
        <v>138</v>
      </c>
      <c r="B4" s="38"/>
      <c r="C4" s="39"/>
      <c r="D4" s="39"/>
      <c r="E4" s="39"/>
      <c r="F4" s="40"/>
    </row>
    <row r="5" spans="1:9">
      <c r="A5" s="47" t="s">
        <v>139</v>
      </c>
      <c r="B5" s="49">
        <f>'Profit and loss'!B3</f>
        <v>0</v>
      </c>
      <c r="C5" s="49">
        <f>'Profit and loss'!C3</f>
        <v>0</v>
      </c>
      <c r="D5" s="49">
        <f>'Profit and loss'!D3</f>
        <v>0</v>
      </c>
      <c r="E5" s="49">
        <f>'Profit and loss'!E3</f>
        <v>0</v>
      </c>
      <c r="F5" s="49">
        <f>'Profit and loss'!F3</f>
        <v>0</v>
      </c>
    </row>
    <row r="6" spans="1:9">
      <c r="A6" s="31" t="s">
        <v>140</v>
      </c>
      <c r="B6" s="50">
        <f>IF(B12=0,0,B5/B12)</f>
        <v>0</v>
      </c>
      <c r="C6" s="50">
        <f>IF(C12=0,0,C5/C12)</f>
        <v>0</v>
      </c>
      <c r="D6" s="50">
        <f>IF(D12=0,0,D5/D12)</f>
        <v>0</v>
      </c>
      <c r="E6" s="50">
        <f>IF(E12=0,0,E5/E12)</f>
        <v>0</v>
      </c>
      <c r="F6" s="50">
        <f>IF(F12=0,0,F5/F12)</f>
        <v>0</v>
      </c>
    </row>
    <row r="7" spans="1:9">
      <c r="A7" s="47" t="s">
        <v>141</v>
      </c>
      <c r="B7" s="41"/>
      <c r="C7" s="42"/>
      <c r="D7" s="42"/>
      <c r="E7" s="42"/>
      <c r="F7" s="43"/>
    </row>
    <row r="8" spans="1:9">
      <c r="A8" s="51"/>
      <c r="B8" s="49"/>
      <c r="C8" s="49"/>
      <c r="D8" s="49"/>
      <c r="E8" s="49"/>
      <c r="F8" s="49"/>
    </row>
    <row r="9" spans="1:9">
      <c r="A9" s="52"/>
      <c r="B9" s="49"/>
      <c r="C9" s="49"/>
      <c r="D9" s="49"/>
      <c r="E9" s="49"/>
      <c r="F9" s="49"/>
    </row>
    <row r="10" spans="1:9">
      <c r="A10" s="47" t="s">
        <v>142</v>
      </c>
      <c r="B10" s="33">
        <f>SUM(B8:B9)</f>
        <v>0</v>
      </c>
      <c r="C10" s="53">
        <f>SUM(C8:C9)</f>
        <v>0</v>
      </c>
      <c r="D10" s="53">
        <f>SUM(D8:D9)</f>
        <v>0</v>
      </c>
      <c r="E10" s="53">
        <f>SUM(E8:E9)</f>
        <v>0</v>
      </c>
      <c r="F10" s="53">
        <f>SUM(F8:F9)</f>
        <v>0</v>
      </c>
    </row>
    <row r="11" spans="1:9">
      <c r="A11" s="31" t="s">
        <v>143</v>
      </c>
      <c r="B11" s="50">
        <f>IF(B12=0,0,B10/B12)</f>
        <v>0</v>
      </c>
      <c r="C11" s="50">
        <f t="shared" ref="C11:F11" si="0">IF(C12=0,0,C10/C12)</f>
        <v>0</v>
      </c>
      <c r="D11" s="50">
        <f t="shared" si="0"/>
        <v>0</v>
      </c>
      <c r="E11" s="50">
        <f t="shared" si="0"/>
        <v>0</v>
      </c>
      <c r="F11" s="50">
        <f t="shared" si="0"/>
        <v>0</v>
      </c>
    </row>
    <row r="12" spans="1:9">
      <c r="A12" s="47" t="s">
        <v>144</v>
      </c>
      <c r="B12" s="48">
        <f>B10+B5</f>
        <v>0</v>
      </c>
      <c r="C12" s="48">
        <f>C10+C5</f>
        <v>0</v>
      </c>
      <c r="D12" s="48">
        <f>D10+D5</f>
        <v>0</v>
      </c>
      <c r="E12" s="48">
        <f>E10+E5</f>
        <v>0</v>
      </c>
      <c r="F12" s="48">
        <f>F10+F5</f>
        <v>0</v>
      </c>
    </row>
    <row r="13" spans="1:9">
      <c r="A13" s="47" t="s">
        <v>145</v>
      </c>
      <c r="B13" s="44">
        <f>IF(B12=0,0,B3/B12)</f>
        <v>0</v>
      </c>
      <c r="C13" s="44">
        <f>IF(C12=0,0,C3/C12)</f>
        <v>0</v>
      </c>
      <c r="D13" s="44">
        <f>IF(D12=0,0,D3/D12)</f>
        <v>0</v>
      </c>
      <c r="E13" s="44">
        <f>IF(E12=0,0,E3/E12)</f>
        <v>0</v>
      </c>
      <c r="F13" s="44">
        <f>IF(F12=0,0,F3/F12)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udateCostBenefit">
              <controlPr defaultSize="0" print="0" autoFill="0" autoPict="0" macro="[0]!UpdateCostBenefit_Click">
                <anchor moveWithCells="1" sizeWithCells="1">
                  <from>
                    <xdr:col>7</xdr:col>
                    <xdr:colOff>19050</xdr:colOff>
                    <xdr:row>1</xdr:row>
                    <xdr:rowOff>19050</xdr:rowOff>
                  </from>
                  <to>
                    <xdr:col>7</xdr:col>
                    <xdr:colOff>676275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0" tint="-0.499984740745262"/>
  </sheetPr>
  <dimension ref="A1:I12"/>
  <sheetViews>
    <sheetView showGridLines="0" zoomScale="150" zoomScaleNormal="150" workbookViewId="0">
      <selection activeCell="F2" sqref="F2"/>
    </sheetView>
  </sheetViews>
  <sheetFormatPr defaultRowHeight="12"/>
  <cols>
    <col min="1" max="1" width="20.28515625" style="23" bestFit="1" customWidth="1"/>
    <col min="2" max="2" width="19.140625" style="23" customWidth="1"/>
    <col min="3" max="3" width="16.28515625" style="23" customWidth="1"/>
    <col min="4" max="4" width="9.140625" style="23"/>
    <col min="5" max="5" width="21.42578125" style="23" bestFit="1" customWidth="1"/>
    <col min="6" max="6" width="15.5703125" style="23" bestFit="1" customWidth="1"/>
    <col min="7" max="7" width="14.42578125" style="23" bestFit="1" customWidth="1"/>
    <col min="8" max="16384" width="9.140625" style="23"/>
  </cols>
  <sheetData>
    <row r="1" spans="1:9" ht="15">
      <c r="A1" s="55" t="s">
        <v>154</v>
      </c>
      <c r="B1" s="56"/>
      <c r="C1" s="56"/>
      <c r="D1" s="54"/>
      <c r="E1" s="64" t="str">
        <f>"Year "&amp;(A3-1)&amp;" Ravenue"</f>
        <v>Year 2010 Ravenue</v>
      </c>
      <c r="F1" s="64" t="s">
        <v>158</v>
      </c>
      <c r="G1" s="64" t="s">
        <v>159</v>
      </c>
    </row>
    <row r="2" spans="1:9">
      <c r="A2" s="57" t="s">
        <v>155</v>
      </c>
      <c r="B2" s="58" t="s">
        <v>156</v>
      </c>
      <c r="C2" s="58" t="s">
        <v>157</v>
      </c>
      <c r="D2" s="54"/>
      <c r="E2" s="65">
        <f>F2/(100%+G2)</f>
        <v>0</v>
      </c>
      <c r="F2" s="254">
        <v>0</v>
      </c>
      <c r="G2" s="253">
        <v>0</v>
      </c>
      <c r="H2" s="54"/>
      <c r="I2" s="54"/>
    </row>
    <row r="3" spans="1:9">
      <c r="A3" s="59">
        <v>2011</v>
      </c>
      <c r="B3" s="60">
        <f>E$2*(100%+C3/100)</f>
        <v>0</v>
      </c>
      <c r="C3" s="61"/>
      <c r="D3" s="54"/>
      <c r="E3" s="54"/>
      <c r="F3" s="209"/>
      <c r="G3" s="208"/>
      <c r="H3" s="54"/>
      <c r="I3" s="54"/>
    </row>
    <row r="4" spans="1:9">
      <c r="A4" s="59">
        <v>2012</v>
      </c>
      <c r="B4" s="60">
        <f>B3*(100%+C4/100)</f>
        <v>0</v>
      </c>
      <c r="C4" s="61"/>
      <c r="D4" s="54"/>
      <c r="E4" s="54"/>
      <c r="F4" s="54"/>
      <c r="G4" s="54"/>
      <c r="H4" s="54"/>
      <c r="I4" s="54"/>
    </row>
    <row r="5" spans="1:9">
      <c r="A5" s="59">
        <v>2013</v>
      </c>
      <c r="B5" s="60">
        <f>B4*(100%+C5/100)</f>
        <v>0</v>
      </c>
      <c r="C5" s="61"/>
      <c r="D5" s="54"/>
      <c r="E5" s="54"/>
      <c r="F5" s="54"/>
      <c r="G5" s="54"/>
      <c r="H5" s="54"/>
      <c r="I5" s="54"/>
    </row>
    <row r="6" spans="1:9">
      <c r="A6" s="59">
        <v>2014</v>
      </c>
      <c r="B6" s="60">
        <f t="shared" ref="B6:B8" si="0">B5*(100%+C6/100)</f>
        <v>0</v>
      </c>
      <c r="C6" s="61"/>
      <c r="D6" s="54"/>
      <c r="E6" s="54"/>
      <c r="F6" s="54"/>
      <c r="G6" s="54"/>
      <c r="H6" s="54"/>
      <c r="I6" s="54"/>
    </row>
    <row r="7" spans="1:9">
      <c r="A7" s="59">
        <v>2015</v>
      </c>
      <c r="B7" s="60">
        <f t="shared" si="0"/>
        <v>0</v>
      </c>
      <c r="C7" s="61"/>
      <c r="D7" s="54"/>
      <c r="E7" s="54"/>
      <c r="F7" s="54"/>
      <c r="G7" s="54"/>
      <c r="H7" s="54"/>
      <c r="I7" s="54"/>
    </row>
    <row r="8" spans="1:9">
      <c r="A8" s="67">
        <v>2016</v>
      </c>
      <c r="B8" s="62">
        <f t="shared" si="0"/>
        <v>0</v>
      </c>
      <c r="C8" s="63"/>
      <c r="D8" s="54"/>
      <c r="E8" s="54"/>
      <c r="F8" s="54"/>
      <c r="G8" s="54"/>
      <c r="H8" s="54"/>
      <c r="I8" s="54"/>
    </row>
    <row r="9" spans="1:9">
      <c r="A9" s="54"/>
      <c r="B9" s="54"/>
      <c r="C9" s="54"/>
      <c r="D9" s="54"/>
      <c r="E9" s="54"/>
      <c r="F9" s="54"/>
      <c r="G9" s="54"/>
      <c r="H9" s="54"/>
      <c r="I9" s="54"/>
    </row>
    <row r="10" spans="1:9">
      <c r="A10" s="54"/>
      <c r="B10" s="54"/>
      <c r="C10" s="54"/>
      <c r="D10" s="54"/>
      <c r="E10" s="54"/>
      <c r="F10" s="54"/>
      <c r="G10" s="54"/>
      <c r="H10" s="54"/>
      <c r="I10" s="54"/>
    </row>
    <row r="11" spans="1:9">
      <c r="A11" s="54"/>
      <c r="B11" s="54"/>
      <c r="C11" s="54"/>
      <c r="D11" s="54"/>
      <c r="E11" s="54"/>
      <c r="F11" s="54"/>
      <c r="G11" s="54"/>
      <c r="H11" s="54"/>
      <c r="I11" s="54"/>
    </row>
    <row r="12" spans="1:9">
      <c r="A12" s="54"/>
      <c r="B12" s="54"/>
      <c r="C12" s="54"/>
      <c r="D12" s="54"/>
      <c r="E12" s="54"/>
      <c r="F12" s="54"/>
      <c r="G12" s="54"/>
      <c r="H12" s="54"/>
      <c r="I12" s="54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CE0E98-5A38-4EAF-B420-9CC912DDD8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16</vt:i4>
      </vt:variant>
    </vt:vector>
  </HeadingPairs>
  <TitlesOfParts>
    <vt:vector size="29" baseType="lpstr">
      <vt:lpstr>Start-up</vt:lpstr>
      <vt:lpstr>Past Performance</vt:lpstr>
      <vt:lpstr>Personnel</vt:lpstr>
      <vt:lpstr>Sales forecast-vb</vt:lpstr>
      <vt:lpstr>Sales forecast</vt:lpstr>
      <vt:lpstr>Profit and loss</vt:lpstr>
      <vt:lpstr>Break-even</vt:lpstr>
      <vt:lpstr>Cash-flow</vt:lpstr>
      <vt:lpstr>Balance sheet</vt:lpstr>
      <vt:lpstr>Charts</vt:lpstr>
      <vt:lpstr>Feasibility</vt:lpstr>
      <vt:lpstr>Cost Benefit</vt:lpstr>
      <vt:lpstr>Ravenue Growth Snippet</vt:lpstr>
      <vt:lpstr>Charts</vt:lpstr>
      <vt:lpstr>cone</vt:lpstr>
      <vt:lpstr>ctwo</vt:lpstr>
      <vt:lpstr>fone</vt:lpstr>
      <vt:lpstr>ftwo</vt:lpstr>
      <vt:lpstr>one</vt:lpstr>
      <vt:lpstr>sfive</vt:lpstr>
      <vt:lpstr>sfour</vt:lpstr>
      <vt:lpstr>sone</vt:lpstr>
      <vt:lpstr>sonevb</vt:lpstr>
      <vt:lpstr>sthree</vt:lpstr>
      <vt:lpstr>stwo</vt:lpstr>
      <vt:lpstr>stwovb</vt:lpstr>
      <vt:lpstr>three</vt:lpstr>
      <vt:lpstr>toe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Cvijanović</dc:creator>
  <cp:lastModifiedBy>Goran Cvijanović</cp:lastModifiedBy>
  <dcterms:created xsi:type="dcterms:W3CDTF">2017-07-15T21:12:49Z</dcterms:created>
  <dcterms:modified xsi:type="dcterms:W3CDTF">2017-08-20T10:55:39Z</dcterms:modified>
</cp:coreProperties>
</file>